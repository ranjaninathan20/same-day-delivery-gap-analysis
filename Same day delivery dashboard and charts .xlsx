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DD878DB-45B9-4973-94CA-8ABA28B3ECB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Platform data" sheetId="1" r:id="rId1"/>
    <sheet name="Charts" sheetId="2" r:id="rId2"/>
    <sheet name="Pivot" sheetId="3" r:id="rId3"/>
    <sheet name="Key findings" sheetId="4" r:id="rId4"/>
    <sheet name="Dashboard" sheetId="5" r:id="rId5"/>
  </sheets>
  <externalReferences>
    <externalReference r:id="rId6"/>
  </externalReferences>
  <calcPr calcId="0"/>
  <pivotCaches>
    <pivotCache cacheId="11" r:id="rId7"/>
    <pivotCache cacheId="18" r:id="rId8"/>
  </pivotCaches>
</workbook>
</file>

<file path=xl/sharedStrings.xml><?xml version="1.0" encoding="utf-8"?>
<sst xmlns="http://schemas.openxmlformats.org/spreadsheetml/2006/main" count="258" uniqueCount="119">
  <si>
    <t>Platform</t>
  </si>
  <si>
    <t>Fashion</t>
  </si>
  <si>
    <t>Electronics</t>
  </si>
  <si>
    <t>Grocery</t>
  </si>
  <si>
    <t>Blinkit</t>
  </si>
  <si>
    <t>Quick Commerce</t>
  </si>
  <si>
    <t>10-20 min</t>
  </si>
  <si>
    <t>30+</t>
  </si>
  <si>
    <t>Limited</t>
  </si>
  <si>
    <t>Yes</t>
  </si>
  <si>
    <t>Dark Store</t>
  </si>
  <si>
    <t>Metro + Tier1</t>
  </si>
  <si>
    <t>Zepto</t>
  </si>
  <si>
    <t>25+</t>
  </si>
  <si>
    <t>Swiggy Instamart</t>
  </si>
  <si>
    <t>15-30 min</t>
  </si>
  <si>
    <t>BigBasket Now</t>
  </si>
  <si>
    <t>20-30 min</t>
  </si>
  <si>
    <t>20+</t>
  </si>
  <si>
    <t>No</t>
  </si>
  <si>
    <t>Flipkart Minutes</t>
  </si>
  <si>
    <t>15+</t>
  </si>
  <si>
    <t>Metro</t>
  </si>
  <si>
    <t>Dunzo Daily</t>
  </si>
  <si>
    <t>10</t>
  </si>
  <si>
    <t>Amazon</t>
  </si>
  <si>
    <t>E-commerce</t>
  </si>
  <si>
    <t>4-24 hrs</t>
  </si>
  <si>
    <t>50+</t>
  </si>
  <si>
    <t>Warehouse</t>
  </si>
  <si>
    <t>Pan-India</t>
  </si>
  <si>
    <t>Flipkart</t>
  </si>
  <si>
    <t>Same/Next Day</t>
  </si>
  <si>
    <t>40+</t>
  </si>
  <si>
    <t>Myntra</t>
  </si>
  <si>
    <t>Fashion E-commerce</t>
  </si>
  <si>
    <t>1-2 days</t>
  </si>
  <si>
    <t>Myntra M-Now</t>
  </si>
  <si>
    <t>Fashion Quick</t>
  </si>
  <si>
    <t>30-120 min</t>
  </si>
  <si>
    <t>4 metros</t>
  </si>
  <si>
    <t>Metro Only</t>
  </si>
  <si>
    <t>AJIO</t>
  </si>
  <si>
    <t>10+</t>
  </si>
  <si>
    <t>Nykaa Fashion</t>
  </si>
  <si>
    <t>Ajio Rush</t>
  </si>
  <si>
    <t>Fashion quick</t>
  </si>
  <si>
    <t>2-4 hrs</t>
  </si>
  <si>
    <t>Platform Type</t>
  </si>
  <si>
    <t>Avg Delivery Time</t>
  </si>
  <si>
    <t>Cities Presence</t>
  </si>
  <si>
    <t>Delivery Fee</t>
  </si>
  <si>
    <t>Min Order  Value</t>
  </si>
  <si>
    <t>Base Order Value</t>
  </si>
  <si>
    <t>Delivery Model</t>
  </si>
  <si>
    <t>Coverage Type</t>
  </si>
  <si>
    <t>Market Share %</t>
  </si>
  <si>
    <t>Same day availability</t>
  </si>
  <si>
    <t>Market Share % by Platform</t>
  </si>
  <si>
    <t>Base Order Value (INR)</t>
  </si>
  <si>
    <t>Base Order Value by Platform (INR)</t>
  </si>
  <si>
    <t>Finding</t>
  </si>
  <si>
    <t>Insight</t>
  </si>
  <si>
    <t>Data Point</t>
  </si>
  <si>
    <t>Implication</t>
  </si>
  <si>
    <t>Fashion same-day has smallest reach</t>
  </si>
  <si>
    <t>Myntra M-Now covers 4 metros; Ajio Rush 10 cities vs Blinkit 30+ cities</t>
  </si>
  <si>
    <t>Coverage gap: 26+ cities</t>
  </si>
  <si>
    <t>Fashion platforms losing customers to QC in Tier 1/2 cities</t>
  </si>
  <si>
    <t>Fashion customers pay 4-6x more per order</t>
  </si>
  <si>
    <t>Avg fashion AOV ₹1,700 vs quick commerce AOV ₹380</t>
  </si>
  <si>
    <t>AOV gap: ₹1,320</t>
  </si>
  <si>
    <t>High-value orders need better delivery experience &amp; trust</t>
  </si>
  <si>
    <t>Quick commerce dominates market share</t>
  </si>
  <si>
    <t>Blinkit 46% + Zepto 29% + Instamart 25% = 100% of QC segment</t>
  </si>
  <si>
    <t>Fashion quick delivery = only 3% share each</t>
  </si>
  <si>
    <t>Fashion platforms very late to quick delivery game</t>
  </si>
  <si>
    <t>Same-day fashion fees are not competitive</t>
  </si>
  <si>
    <t>Myntra M-Now: ₹50 fee + ₹799 min order vs Blinkit free above ₹99</t>
  </si>
  <si>
    <t>Min order barrier: 8x higher for Myntra</t>
  </si>
  <si>
    <t>High entry barrier reduces same-day adoption</t>
  </si>
  <si>
    <t>Fashion must differentiate beyond speed</t>
  </si>
  <si>
    <t>QC apps (Zepto, Blinkit) now adding limited fashion SKUs</t>
  </si>
  <si>
    <t>QC fashion category growing 40% YoY</t>
  </si>
  <si>
    <t>Myntra/Ajio must compete on curation, size tools, brand trust</t>
  </si>
  <si>
    <t>KEY FINDINGS - Same-Day Fashion Delivery vs Quick Commerce</t>
  </si>
  <si>
    <t>Grand Total</t>
  </si>
  <si>
    <t>Average of Base Order Value</t>
  </si>
  <si>
    <t>Platform type</t>
  </si>
  <si>
    <t>Avg Base Order Value by Platform Type</t>
  </si>
  <si>
    <t xml:space="preserve">No of Platform </t>
  </si>
  <si>
    <t>Coverage type</t>
  </si>
  <si>
    <t>Avg Market Share % by Coverage Type</t>
  </si>
  <si>
    <t>Average of Market Share %</t>
  </si>
  <si>
    <t>Average of Delivery Fee</t>
  </si>
  <si>
    <t>Delivery model</t>
  </si>
  <si>
    <t>Avg Delivery Fee by Delivery Model (INR)</t>
  </si>
  <si>
    <t xml:space="preserve">  Same-Day Fashion Delivery - Competitive Analysis Dashboard  |  India 2025</t>
  </si>
  <si>
    <t>TOTAL PLATFORMS</t>
  </si>
  <si>
    <t>FASHION QUICK DELIVERY</t>
  </si>
  <si>
    <t>FASHION AVG ORDER VALUE</t>
  </si>
  <si>
    <t>MYNTRA M-NOW MIN ORDER</t>
  </si>
  <si>
    <t>Analysed</t>
  </si>
  <si>
    <t>Market Share Each</t>
  </si>
  <si>
    <t>vs ₹380 Quick Commerce</t>
  </si>
  <si>
    <t>vs ₹99 Blinkit / Zepto</t>
  </si>
  <si>
    <t>Platform Type Summary</t>
  </si>
  <si>
    <t>Platforms</t>
  </si>
  <si>
    <t>Avg AOV (INR)</t>
  </si>
  <si>
    <t>Avg Mkt Share%</t>
  </si>
  <si>
    <t>Partial</t>
  </si>
  <si>
    <t>No of Platform</t>
  </si>
  <si>
    <t>Same Day delivery</t>
  </si>
  <si>
    <t>Key Insights</t>
  </si>
  <si>
    <t>Fashion quick delivery (Myntra M-Now, Ajio Rush) has only 3% market share each</t>
  </si>
  <si>
    <t>Fashion AOV ₹1,700 is 4.5x higher than quick commerce AOV ₹380</t>
  </si>
  <si>
    <t>Quick commerce covers 25-30 cities; Myntra M-Now only 4 metros</t>
  </si>
  <si>
    <t>Myntra M-Now min order ₹799 vs Blinkit ₹99 - 8x higher barrier</t>
  </si>
  <si>
    <t>Standard 1-2 day delivery already fast - same-day value unclear to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</si>
</sst>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5"/>
      <color rgb="FFFFFFFF"/>
      <name val="Arial"/>
      <family val="2"/>
    </font>
    <font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FF"/>
      </patternFill>
    </fill>
    <fill>
      <patternFill patternType="solid">
        <fgColor rgb="FFF4F6F7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DFEFE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6">
    <xf numFmtId="0" fontId="0" fillId="0" borderId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58">
    <xf numFmtId="0" fontId="0" fillId="0" borderId="0" xfId="0"/>
    <xf numFmtId="0" fontId="1" fillId="5" borderId="4" xfId="4" applyBorder="1" applyAlignment="1">
      <alignment horizontal="center" vertical="center" wrapText="1"/>
    </xf>
    <xf numFmtId="0" fontId="1" fillId="3" borderId="0" xfId="2"/>
    <xf numFmtId="0" fontId="1" fillId="5" borderId="4" xfId="4" applyBorder="1" applyAlignment="1">
      <alignment horizontal="left" vertical="center" wrapText="1"/>
    </xf>
    <xf numFmtId="0" fontId="1" fillId="3" borderId="0" xfId="2" applyAlignment="1">
      <alignment horizontal="left" vertical="top"/>
    </xf>
    <xf numFmtId="0" fontId="1" fillId="3" borderId="4" xfId="2" applyBorder="1" applyAlignment="1">
      <alignment horizontal="left" vertical="top" wrapText="1"/>
    </xf>
    <xf numFmtId="0" fontId="1" fillId="5" borderId="0" xfId="4" applyAlignment="1">
      <alignment horizontal="left" vertical="top"/>
    </xf>
    <xf numFmtId="0" fontId="1" fillId="5" borderId="4" xfId="4" applyBorder="1" applyAlignment="1">
      <alignment horizontal="left" vertical="top" wrapText="1"/>
    </xf>
    <xf numFmtId="0" fontId="7" fillId="7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4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1" fillId="8" borderId="4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1" fillId="7" borderId="4" xfId="0" applyFont="1" applyFill="1" applyBorder="1" applyAlignment="1">
      <alignment horizontal="left" vertical="top" wrapText="1"/>
    </xf>
    <xf numFmtId="0" fontId="13" fillId="12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pivotButton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NumberFormat="1" applyFont="1" applyBorder="1"/>
    <xf numFmtId="0" fontId="2" fillId="0" borderId="1" xfId="0" pivotButton="1" applyFont="1" applyBorder="1"/>
    <xf numFmtId="0" fontId="2" fillId="0" borderId="1" xfId="0" applyFont="1" applyBorder="1"/>
    <xf numFmtId="0" fontId="4" fillId="2" borderId="0" xfId="1" applyFont="1" applyAlignment="1">
      <alignment horizontal="center" vertical="center"/>
    </xf>
    <xf numFmtId="0" fontId="0" fillId="13" borderId="0" xfId="0" applyFill="1"/>
    <xf numFmtId="0" fontId="1" fillId="4" borderId="4" xfId="3" applyBorder="1" applyAlignment="1">
      <alignment horizontal="center" vertical="center"/>
    </xf>
    <xf numFmtId="0" fontId="1" fillId="4" borderId="4" xfId="3" applyBorder="1"/>
    <xf numFmtId="0" fontId="1" fillId="6" borderId="4" xfId="5" applyBorder="1" applyAlignment="1">
      <alignment horizontal="center" vertical="center"/>
    </xf>
    <xf numFmtId="0" fontId="1" fillId="6" borderId="4" xfId="5" applyBorder="1"/>
    <xf numFmtId="0" fontId="1" fillId="3" borderId="3" xfId="2" applyBorder="1" applyAlignment="1">
      <alignment horizontal="center" vertical="center"/>
    </xf>
    <xf numFmtId="0" fontId="1" fillId="3" borderId="4" xfId="2" applyBorder="1" applyAlignment="1">
      <alignment horizontal="center" vertical="center"/>
    </xf>
    <xf numFmtId="0" fontId="1" fillId="3" borderId="2" xfId="2" applyBorder="1" applyAlignment="1">
      <alignment horizontal="left"/>
    </xf>
    <xf numFmtId="0" fontId="4" fillId="3" borderId="2" xfId="2" applyFont="1" applyBorder="1" applyAlignment="1">
      <alignment horizontal="center" vertical="center"/>
    </xf>
    <xf numFmtId="0" fontId="4" fillId="3" borderId="3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3" fillId="2" borderId="0" xfId="1" applyFont="1" applyAlignment="1">
      <alignment horizontal="center" vertical="center"/>
    </xf>
    <xf numFmtId="0" fontId="3" fillId="2" borderId="0" xfId="1" applyFont="1"/>
    <xf numFmtId="0" fontId="15" fillId="5" borderId="5" xfId="4" applyFont="1" applyBorder="1" applyAlignment="1">
      <alignment horizontal="left" vertical="center" wrapText="1"/>
    </xf>
    <xf numFmtId="0" fontId="15" fillId="5" borderId="0" xfId="4" applyFont="1" applyBorder="1" applyAlignment="1">
      <alignment horizontal="left" vertical="center" wrapText="1"/>
    </xf>
    <xf numFmtId="9" fontId="1" fillId="4" borderId="4" xfId="3" applyNumberFormat="1" applyBorder="1" applyAlignment="1">
      <alignment horizontal="center" vertical="center"/>
    </xf>
    <xf numFmtId="0" fontId="4" fillId="11" borderId="4" xfId="5" applyFont="1" applyFill="1" applyBorder="1" applyAlignment="1">
      <alignment horizontal="center" vertical="center"/>
    </xf>
    <xf numFmtId="0" fontId="4" fillId="11" borderId="4" xfId="5" applyFont="1" applyFill="1" applyBorder="1"/>
    <xf numFmtId="0" fontId="1" fillId="6" borderId="4" xfId="5" applyNumberFormat="1" applyBorder="1" applyAlignment="1">
      <alignment horizontal="center" vertical="center"/>
    </xf>
    <xf numFmtId="6" fontId="1" fillId="4" borderId="4" xfId="3" applyNumberFormat="1" applyBorder="1" applyAlignment="1">
      <alignment horizontal="center" vertical="center"/>
    </xf>
    <xf numFmtId="6" fontId="1" fillId="6" borderId="4" xfId="5" applyNumberFormat="1" applyBorder="1" applyAlignment="1">
      <alignment horizontal="center" vertical="center"/>
    </xf>
    <xf numFmtId="0" fontId="4" fillId="9" borderId="4" xfId="3" applyFont="1" applyFill="1" applyBorder="1" applyAlignment="1">
      <alignment horizontal="center" vertical="center"/>
    </xf>
    <xf numFmtId="0" fontId="4" fillId="9" borderId="4" xfId="3" applyFont="1" applyFill="1" applyBorder="1"/>
    <xf numFmtId="0" fontId="14" fillId="14" borderId="0" xfId="0" applyFont="1" applyFill="1" applyAlignment="1">
      <alignment horizontal="center" vertical="center"/>
    </xf>
    <xf numFmtId="0" fontId="0" fillId="14" borderId="0" xfId="0" applyFill="1"/>
  </cellXfs>
  <cellStyles count="6">
    <cellStyle name="20% - Accent2" xfId="2" builtinId="34"/>
    <cellStyle name="20% - Accent3" xfId="4" builtinId="38"/>
    <cellStyle name="40% - Accent2" xfId="3" builtinId="35"/>
    <cellStyle name="40% - Accent3" xfId="5" builtinId="39"/>
    <cellStyle name="Accent2" xfId="1" builtinId="33"/>
    <cellStyle name="Normal" xfId="0" builtinId="0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895603674540683"/>
          <c:y val="0.16655110819480898"/>
          <c:w val="0.70393285214348211"/>
          <c:h val="0.698271726450860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Market Share %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Charts!$A$3:$A$15</c:f>
              <c:strCache>
                <c:ptCount val="13"/>
                <c:pt idx="0">
                  <c:v>Flipkart</c:v>
                </c:pt>
                <c:pt idx="1">
                  <c:v>Blinkit</c:v>
                </c:pt>
                <c:pt idx="2">
                  <c:v>Amazon</c:v>
                </c:pt>
                <c:pt idx="3">
                  <c:v>Zepto</c:v>
                </c:pt>
                <c:pt idx="4">
                  <c:v>Swiggy Instamart</c:v>
                </c:pt>
                <c:pt idx="5">
                  <c:v>Myntra</c:v>
                </c:pt>
                <c:pt idx="6">
                  <c:v>AJIO</c:v>
                </c:pt>
                <c:pt idx="7">
                  <c:v>Nykaa Fashion</c:v>
                </c:pt>
                <c:pt idx="8">
                  <c:v>BigBasket Now</c:v>
                </c:pt>
                <c:pt idx="9">
                  <c:v>Myntra M-Now</c:v>
                </c:pt>
                <c:pt idx="10">
                  <c:v>Ajio Rush</c:v>
                </c:pt>
                <c:pt idx="11">
                  <c:v>Flipkart Minutes</c:v>
                </c:pt>
                <c:pt idx="12">
                  <c:v>Dunzo Daily</c:v>
                </c:pt>
              </c:strCache>
            </c:strRef>
          </c:cat>
          <c:val>
            <c:numRef>
              <c:f>Charts!$B$3:$B$15</c:f>
              <c:numCache>
                <c:formatCode>General</c:formatCode>
                <c:ptCount val="13"/>
                <c:pt idx="0">
                  <c:v>48</c:v>
                </c:pt>
                <c:pt idx="1">
                  <c:v>46</c:v>
                </c:pt>
                <c:pt idx="2">
                  <c:v>39</c:v>
                </c:pt>
                <c:pt idx="3">
                  <c:v>29</c:v>
                </c:pt>
                <c:pt idx="4">
                  <c:v>25</c:v>
                </c:pt>
                <c:pt idx="5">
                  <c:v>17</c:v>
                </c:pt>
                <c:pt idx="6">
                  <c:v>9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7-461D-919B-0C019E4104A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594716336"/>
        <c:axId val="594722096"/>
      </c:barChart>
      <c:catAx>
        <c:axId val="594716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722096"/>
        <c:crosses val="autoZero"/>
        <c:auto val="1"/>
        <c:lblAlgn val="ctr"/>
        <c:lblOffset val="100"/>
        <c:noMultiLvlLbl val="0"/>
      </c:catAx>
      <c:valAx>
        <c:axId val="59472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71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5680227471566"/>
          <c:y val="0.19486111111111112"/>
          <c:w val="0.728654199475065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Base Order Value (INR)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Charts!$A$22:$A$34</c:f>
              <c:strCache>
                <c:ptCount val="13"/>
                <c:pt idx="0">
                  <c:v>Ajio Rush</c:v>
                </c:pt>
                <c:pt idx="1">
                  <c:v>Myntra</c:v>
                </c:pt>
                <c:pt idx="2">
                  <c:v>Nykaa Fashion</c:v>
                </c:pt>
                <c:pt idx="3">
                  <c:v>AJIO</c:v>
                </c:pt>
                <c:pt idx="4">
                  <c:v>Myntra M-Now</c:v>
                </c:pt>
                <c:pt idx="5">
                  <c:v>Amazon</c:v>
                </c:pt>
                <c:pt idx="6">
                  <c:v>Flipkart</c:v>
                </c:pt>
                <c:pt idx="7">
                  <c:v>BigBasket Now</c:v>
                </c:pt>
                <c:pt idx="8">
                  <c:v>Flipkart Minutes</c:v>
                </c:pt>
                <c:pt idx="9">
                  <c:v>Blinkit</c:v>
                </c:pt>
                <c:pt idx="10">
                  <c:v>Swiggy Instamart</c:v>
                </c:pt>
                <c:pt idx="11">
                  <c:v>Zepto</c:v>
                </c:pt>
                <c:pt idx="12">
                  <c:v>Dunzo Daily</c:v>
                </c:pt>
              </c:strCache>
            </c:strRef>
          </c:cat>
          <c:val>
            <c:numRef>
              <c:f>Charts!$B$22:$B$34</c:f>
              <c:numCache>
                <c:formatCode>General</c:formatCode>
                <c:ptCount val="13"/>
                <c:pt idx="0">
                  <c:v>2200</c:v>
                </c:pt>
                <c:pt idx="1">
                  <c:v>1800</c:v>
                </c:pt>
                <c:pt idx="2">
                  <c:v>1700</c:v>
                </c:pt>
                <c:pt idx="3">
                  <c:v>1600</c:v>
                </c:pt>
                <c:pt idx="4">
                  <c:v>1500</c:v>
                </c:pt>
                <c:pt idx="5">
                  <c:v>1200</c:v>
                </c:pt>
                <c:pt idx="6">
                  <c:v>1100</c:v>
                </c:pt>
                <c:pt idx="7">
                  <c:v>500</c:v>
                </c:pt>
                <c:pt idx="8">
                  <c:v>400</c:v>
                </c:pt>
                <c:pt idx="9">
                  <c:v>350</c:v>
                </c:pt>
                <c:pt idx="10">
                  <c:v>340</c:v>
                </c:pt>
                <c:pt idx="11">
                  <c:v>320</c:v>
                </c:pt>
                <c:pt idx="1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7-41D0-A571-2EFED80C5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687220984"/>
        <c:axId val="687215224"/>
      </c:barChart>
      <c:catAx>
        <c:axId val="687220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15224"/>
        <c:crosses val="autoZero"/>
        <c:auto val="1"/>
        <c:lblAlgn val="ctr"/>
        <c:lblOffset val="100"/>
        <c:noMultiLvlLbl val="0"/>
      </c:catAx>
      <c:valAx>
        <c:axId val="687215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20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[ecommerce_quickcommerce_comparison_2025.xlsx]Pivot!PivotTable5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000"/>
              <a:t>Market</a:t>
            </a:r>
            <a:r>
              <a:rPr lang="en-IN" sz="1000" baseline="0"/>
              <a:t> share by platform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854293954606577E-2"/>
          <c:y val="0.1851957133517155"/>
          <c:w val="0.87894252098224135"/>
          <c:h val="0.5442697821617062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Average of Base Order Value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Pivot!$A$4:$A$9</c:f>
              <c:strCache>
                <c:ptCount val="5"/>
                <c:pt idx="0">
                  <c:v>E-commerce</c:v>
                </c:pt>
                <c:pt idx="1">
                  <c:v>Fashion</c:v>
                </c:pt>
                <c:pt idx="2">
                  <c:v>Fashion E-commerce</c:v>
                </c:pt>
                <c:pt idx="3">
                  <c:v>Fashion Quick</c:v>
                </c:pt>
                <c:pt idx="4">
                  <c:v>Quick Commerce</c:v>
                </c:pt>
              </c:strCache>
            </c:strRef>
          </c:cat>
          <c:val>
            <c:numRef>
              <c:f>Pivot!$B$4:$B$9</c:f>
              <c:numCache>
                <c:formatCode>General</c:formatCode>
                <c:ptCount val="5"/>
                <c:pt idx="0">
                  <c:v>1150</c:v>
                </c:pt>
                <c:pt idx="1">
                  <c:v>1650</c:v>
                </c:pt>
                <c:pt idx="2">
                  <c:v>1800</c:v>
                </c:pt>
                <c:pt idx="3">
                  <c:v>1850</c:v>
                </c:pt>
                <c:pt idx="4">
                  <c:v>368.33333333333331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7-43EC-9DE2-F7195A358B9E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No of Platform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Pivot!$A$4:$A$9</c:f>
              <c:strCache>
                <c:ptCount val="5"/>
                <c:pt idx="0">
                  <c:v>E-commerce</c:v>
                </c:pt>
                <c:pt idx="1">
                  <c:v>Fashion</c:v>
                </c:pt>
                <c:pt idx="2">
                  <c:v>Fashion E-commerce</c:v>
                </c:pt>
                <c:pt idx="3">
                  <c:v>Fashion Quick</c:v>
                </c:pt>
                <c:pt idx="4">
                  <c:v>Quick Commerce</c:v>
                </c:pt>
              </c:strCache>
            </c:strRef>
          </c:cat>
          <c:val>
            <c:numRef>
              <c:f>Pivot!$C$4:$C$9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87-43EC-9DE2-F7195A358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7210184"/>
        <c:axId val="687207304"/>
        <c:axId val="0"/>
      </c:bar3DChart>
      <c:catAx>
        <c:axId val="68721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07304"/>
        <c:crosses val="autoZero"/>
        <c:auto val="1"/>
        <c:lblAlgn val="ctr"/>
        <c:lblOffset val="100"/>
        <c:noMultiLvlLbl val="0"/>
      </c:catAx>
      <c:valAx>
        <c:axId val="687207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10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[ecommerce_quickcommerce_comparison_2025.xlsx]Pivot!PivotTable6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000"/>
              <a:t>Base</a:t>
            </a:r>
            <a:r>
              <a:rPr lang="en-IN" sz="1000" baseline="0"/>
              <a:t> order value by platform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Pivot!$B$16</c:f>
              <c:strCache>
                <c:ptCount val="1"/>
                <c:pt idx="0">
                  <c:v>Average of Market Share 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Pivot!$A$17:$A$21</c:f>
              <c:strCache>
                <c:ptCount val="4"/>
                <c:pt idx="0">
                  <c:v>Metro</c:v>
                </c:pt>
                <c:pt idx="1">
                  <c:v>Metro + Tier1</c:v>
                </c:pt>
                <c:pt idx="2">
                  <c:v>Metro Only</c:v>
                </c:pt>
                <c:pt idx="3">
                  <c:v>Pan-India</c:v>
                </c:pt>
              </c:strCache>
            </c:strRef>
          </c:cat>
          <c:val>
            <c:numRef>
              <c:f>Pivot!$B$17:$B$21</c:f>
              <c:numCache>
                <c:formatCode>General</c:formatCode>
                <c:ptCount val="4"/>
                <c:pt idx="0">
                  <c:v>1.5</c:v>
                </c:pt>
                <c:pt idx="1">
                  <c:v>26</c:v>
                </c:pt>
                <c:pt idx="2">
                  <c:v>3</c:v>
                </c:pt>
                <c:pt idx="3">
                  <c:v>23.8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7-4C55-862F-99CC1DFA98EF}"/>
            </c:ext>
          </c:extLst>
        </c:ser>
        <c:ser>
          <c:idx val="1"/>
          <c:order val="1"/>
          <c:tx>
            <c:strRef>
              <c:f>Pivot!$C$16</c:f>
              <c:strCache>
                <c:ptCount val="1"/>
                <c:pt idx="0">
                  <c:v>No of Platform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Pivot!$A$17:$A$21</c:f>
              <c:strCache>
                <c:ptCount val="4"/>
                <c:pt idx="0">
                  <c:v>Metro</c:v>
                </c:pt>
                <c:pt idx="1">
                  <c:v>Metro + Tier1</c:v>
                </c:pt>
                <c:pt idx="2">
                  <c:v>Metro Only</c:v>
                </c:pt>
                <c:pt idx="3">
                  <c:v>Pan-India</c:v>
                </c:pt>
              </c:strCache>
            </c:strRef>
          </c:cat>
          <c:val>
            <c:numRef>
              <c:f>Pivot!$C$17:$C$21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7-4C55-862F-99CC1DFA9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5963736"/>
        <c:axId val="695964096"/>
        <c:axId val="0"/>
      </c:bar3DChart>
      <c:catAx>
        <c:axId val="695963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64096"/>
        <c:crosses val="autoZero"/>
        <c:auto val="1"/>
        <c:lblAlgn val="ctr"/>
        <c:lblOffset val="100"/>
        <c:noMultiLvlLbl val="0"/>
      </c:catAx>
      <c:valAx>
        <c:axId val="69596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63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[ecommerce_quickcommerce_comparison_2025.xlsx]Pivot!PivotTable7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000"/>
              <a:t>Cities</a:t>
            </a:r>
            <a:r>
              <a:rPr lang="en-IN" sz="1000" baseline="0"/>
              <a:t> coverage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Pivot!$B$28</c:f>
              <c:strCache>
                <c:ptCount val="1"/>
                <c:pt idx="0">
                  <c:v>Average of Delivery Fee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Pivot!$A$29:$A$31</c:f>
              <c:strCache>
                <c:ptCount val="2"/>
                <c:pt idx="0">
                  <c:v>Dark Store</c:v>
                </c:pt>
                <c:pt idx="1">
                  <c:v>Warehouse</c:v>
                </c:pt>
              </c:strCache>
            </c:strRef>
          </c:cat>
          <c:val>
            <c:numRef>
              <c:f>Pivot!$B$29:$B$31</c:f>
              <c:numCache>
                <c:formatCode>General</c:formatCode>
                <c:ptCount val="2"/>
                <c:pt idx="0">
                  <c:v>41.75</c:v>
                </c:pt>
                <c:pt idx="1">
                  <c:v>85.8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E-4AE0-ACB6-075C143AFFF8}"/>
            </c:ext>
          </c:extLst>
        </c:ser>
        <c:ser>
          <c:idx val="1"/>
          <c:order val="1"/>
          <c:tx>
            <c:strRef>
              <c:f>Pivot!$C$28</c:f>
              <c:strCache>
                <c:ptCount val="1"/>
                <c:pt idx="0">
                  <c:v>No of Platform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Pivot!$A$29:$A$31</c:f>
              <c:strCache>
                <c:ptCount val="2"/>
                <c:pt idx="0">
                  <c:v>Dark Store</c:v>
                </c:pt>
                <c:pt idx="1">
                  <c:v>Warehouse</c:v>
                </c:pt>
              </c:strCache>
            </c:strRef>
          </c:cat>
          <c:val>
            <c:numRef>
              <c:f>Pivot!$C$29:$C$31</c:f>
              <c:numCache>
                <c:formatCode>General</c:formatCode>
                <c:ptCount val="2"/>
                <c:pt idx="0">
                  <c:v>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E-4AE0-ACB6-075C143AF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9079744"/>
        <c:axId val="719077584"/>
        <c:axId val="0"/>
      </c:bar3DChart>
      <c:catAx>
        <c:axId val="71907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77584"/>
        <c:crosses val="autoZero"/>
        <c:auto val="1"/>
        <c:lblAlgn val="ctr"/>
        <c:lblOffset val="100"/>
        <c:noMultiLvlLbl val="0"/>
      </c:catAx>
      <c:valAx>
        <c:axId val="71907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7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[ecommerce_quickcommerce_comparison_2025.xlsx]Pivot!PivotTable5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rgbClr val="FF0000"/>
                </a:solidFill>
              </a:rPr>
              <a:t>Market</a:t>
            </a:r>
            <a:r>
              <a:rPr lang="en-IN" sz="1200" b="1" baseline="0">
                <a:solidFill>
                  <a:srgbClr val="FF0000"/>
                </a:solidFill>
              </a:rPr>
              <a:t> share by platform</a:t>
            </a:r>
            <a:endParaRPr lang="en-IN" sz="12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854293954606577E-2"/>
          <c:y val="0.1851957133517155"/>
          <c:w val="0.87894252098224135"/>
          <c:h val="0.54426978216170629"/>
        </c:manualLayout>
      </c:layout>
      <c:bar3DChart>
        <c:barDir val="col"/>
        <c:grouping val="clustered"/>
        <c:varyColors val="0"/>
        <c:ser>
          <c:idx val="2"/>
          <c:order val="0"/>
          <c:tx>
            <c:strRef>
              <c:f>Pivot!$B$3</c:f>
              <c:strCache>
                <c:ptCount val="1"/>
                <c:pt idx="0">
                  <c:v>Average of Base Order Value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Pivot!$A$4:$A$9</c:f>
              <c:strCache>
                <c:ptCount val="5"/>
                <c:pt idx="0">
                  <c:v>E-commerce</c:v>
                </c:pt>
                <c:pt idx="1">
                  <c:v>Fashion</c:v>
                </c:pt>
                <c:pt idx="2">
                  <c:v>Fashion E-commerce</c:v>
                </c:pt>
                <c:pt idx="3">
                  <c:v>Fashion Quick</c:v>
                </c:pt>
                <c:pt idx="4">
                  <c:v>Quick Commerce</c:v>
                </c:pt>
              </c:strCache>
            </c:strRef>
          </c:cat>
          <c:val>
            <c:numRef>
              <c:f>Pivot!$B$4:$B$9</c:f>
              <c:numCache>
                <c:formatCode>General</c:formatCode>
                <c:ptCount val="5"/>
                <c:pt idx="0">
                  <c:v>1150</c:v>
                </c:pt>
                <c:pt idx="1">
                  <c:v>1650</c:v>
                </c:pt>
                <c:pt idx="2">
                  <c:v>1800</c:v>
                </c:pt>
                <c:pt idx="3">
                  <c:v>1850</c:v>
                </c:pt>
                <c:pt idx="4">
                  <c:v>368.33333333333331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C3-46B4-9D9B-9A7CB4656B20}"/>
            </c:ext>
          </c:extLst>
        </c:ser>
        <c:ser>
          <c:idx val="3"/>
          <c:order val="1"/>
          <c:tx>
            <c:strRef>
              <c:f>Pivot!$C$3</c:f>
              <c:strCache>
                <c:ptCount val="1"/>
                <c:pt idx="0">
                  <c:v>No of Platform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Pivot!$A$4:$A$9</c:f>
              <c:strCache>
                <c:ptCount val="5"/>
                <c:pt idx="0">
                  <c:v>E-commerce</c:v>
                </c:pt>
                <c:pt idx="1">
                  <c:v>Fashion</c:v>
                </c:pt>
                <c:pt idx="2">
                  <c:v>Fashion E-commerce</c:v>
                </c:pt>
                <c:pt idx="3">
                  <c:v>Fashion Quick</c:v>
                </c:pt>
                <c:pt idx="4">
                  <c:v>Quick Commerce</c:v>
                </c:pt>
              </c:strCache>
            </c:strRef>
          </c:cat>
          <c:val>
            <c:numRef>
              <c:f>Pivot!$C$4:$C$9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C3-46B4-9D9B-9A7CB4656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7210184"/>
        <c:axId val="687207304"/>
        <c:axId val="0"/>
      </c:bar3DChart>
      <c:catAx>
        <c:axId val="68721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07304"/>
        <c:crosses val="autoZero"/>
        <c:auto val="1"/>
        <c:lblAlgn val="ctr"/>
        <c:lblOffset val="100"/>
        <c:noMultiLvlLbl val="0"/>
      </c:catAx>
      <c:valAx>
        <c:axId val="687207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10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[ecommerce_quickcommerce_comparison_2025.xlsx]Pivot!PivotTable6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rgbClr val="FF0000"/>
                </a:solidFill>
              </a:rPr>
              <a:t>Base Order Value by Platform (INR)</a:t>
            </a:r>
            <a:endParaRPr lang="en-IN" sz="12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2"/>
          <c:order val="0"/>
          <c:tx>
            <c:strRef>
              <c:f>Pivot!$B$16</c:f>
              <c:strCache>
                <c:ptCount val="1"/>
                <c:pt idx="0">
                  <c:v>Average of Market Share 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Pivot!$A$17:$A$21</c:f>
              <c:strCache>
                <c:ptCount val="4"/>
                <c:pt idx="0">
                  <c:v>Metro</c:v>
                </c:pt>
                <c:pt idx="1">
                  <c:v>Metro + Tier1</c:v>
                </c:pt>
                <c:pt idx="2">
                  <c:v>Metro Only</c:v>
                </c:pt>
                <c:pt idx="3">
                  <c:v>Pan-India</c:v>
                </c:pt>
              </c:strCache>
            </c:strRef>
          </c:cat>
          <c:val>
            <c:numRef>
              <c:f>Pivot!$B$17:$B$21</c:f>
              <c:numCache>
                <c:formatCode>General</c:formatCode>
                <c:ptCount val="4"/>
                <c:pt idx="0">
                  <c:v>1.5</c:v>
                </c:pt>
                <c:pt idx="1">
                  <c:v>26</c:v>
                </c:pt>
                <c:pt idx="2">
                  <c:v>3</c:v>
                </c:pt>
                <c:pt idx="3">
                  <c:v>23.8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D7-427A-9A80-7860EDD706B2}"/>
            </c:ext>
          </c:extLst>
        </c:ser>
        <c:ser>
          <c:idx val="3"/>
          <c:order val="1"/>
          <c:tx>
            <c:strRef>
              <c:f>Pivot!$C$16</c:f>
              <c:strCache>
                <c:ptCount val="1"/>
                <c:pt idx="0">
                  <c:v>No of Platform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Pivot!$A$17:$A$21</c:f>
              <c:strCache>
                <c:ptCount val="4"/>
                <c:pt idx="0">
                  <c:v>Metro</c:v>
                </c:pt>
                <c:pt idx="1">
                  <c:v>Metro + Tier1</c:v>
                </c:pt>
                <c:pt idx="2">
                  <c:v>Metro Only</c:v>
                </c:pt>
                <c:pt idx="3">
                  <c:v>Pan-India</c:v>
                </c:pt>
              </c:strCache>
            </c:strRef>
          </c:cat>
          <c:val>
            <c:numRef>
              <c:f>Pivot!$C$17:$C$21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D7-427A-9A80-7860EDD70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5963736"/>
        <c:axId val="695964096"/>
        <c:axId val="0"/>
      </c:bar3DChart>
      <c:catAx>
        <c:axId val="695963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64096"/>
        <c:crosses val="autoZero"/>
        <c:auto val="1"/>
        <c:lblAlgn val="ctr"/>
        <c:lblOffset val="100"/>
        <c:noMultiLvlLbl val="0"/>
      </c:catAx>
      <c:valAx>
        <c:axId val="69596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963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[ecommerce_quickcommerce_comparison_2025.xlsx]Pivot!PivotTable7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FF0000"/>
                </a:solidFill>
              </a:rPr>
              <a:t>Cities Coverage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2"/>
          <c:order val="0"/>
          <c:tx>
            <c:strRef>
              <c:f>Pivot!$B$28</c:f>
              <c:strCache>
                <c:ptCount val="1"/>
                <c:pt idx="0">
                  <c:v>Average of Delivery Fee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Pivot!$A$29:$A$31</c:f>
              <c:strCache>
                <c:ptCount val="2"/>
                <c:pt idx="0">
                  <c:v>Dark Store</c:v>
                </c:pt>
                <c:pt idx="1">
                  <c:v>Warehouse</c:v>
                </c:pt>
              </c:strCache>
            </c:strRef>
          </c:cat>
          <c:val>
            <c:numRef>
              <c:f>Pivot!$B$29:$B$31</c:f>
              <c:numCache>
                <c:formatCode>General</c:formatCode>
                <c:ptCount val="2"/>
                <c:pt idx="0">
                  <c:v>41.75</c:v>
                </c:pt>
                <c:pt idx="1">
                  <c:v>85.8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AD-4028-AE1B-5DB822AC94AD}"/>
            </c:ext>
          </c:extLst>
        </c:ser>
        <c:ser>
          <c:idx val="3"/>
          <c:order val="1"/>
          <c:tx>
            <c:strRef>
              <c:f>Pivot!$C$28</c:f>
              <c:strCache>
                <c:ptCount val="1"/>
                <c:pt idx="0">
                  <c:v>No of Platform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Pivot!$A$29:$A$31</c:f>
              <c:strCache>
                <c:ptCount val="2"/>
                <c:pt idx="0">
                  <c:v>Dark Store</c:v>
                </c:pt>
                <c:pt idx="1">
                  <c:v>Warehouse</c:v>
                </c:pt>
              </c:strCache>
            </c:strRef>
          </c:cat>
          <c:val>
            <c:numRef>
              <c:f>Pivot!$C$29:$C$31</c:f>
              <c:numCache>
                <c:formatCode>General</c:formatCode>
                <c:ptCount val="2"/>
                <c:pt idx="0">
                  <c:v>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AD-4028-AE1B-5DB822AC9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9079744"/>
        <c:axId val="719077584"/>
        <c:axId val="0"/>
      </c:bar3DChart>
      <c:catAx>
        <c:axId val="71907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77584"/>
        <c:crosses val="autoZero"/>
        <c:auto val="1"/>
        <c:lblAlgn val="ctr"/>
        <c:lblOffset val="100"/>
        <c:noMultiLvlLbl val="0"/>
      </c:catAx>
      <c:valAx>
        <c:axId val="71907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07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350520</xdr:rowOff>
    </xdr:from>
    <xdr:to>
      <xdr:col>11</xdr:col>
      <xdr:colOff>0</xdr:colOff>
      <xdr:row>14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AAA4A6-649A-940F-0469-698E717A2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594360</xdr:colOff>
      <xdr:row>19</xdr:row>
      <xdr:rowOff>396240</xdr:rowOff>
    </xdr:from>
    <xdr:to>
      <xdr:col>11</xdr:col>
      <xdr:colOff>0</xdr:colOff>
      <xdr:row>34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8364BB-AC81-E8CB-1A7F-0C4D808A6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160020</xdr:rowOff>
    </xdr:from>
    <xdr:to>
      <xdr:col>11</xdr:col>
      <xdr:colOff>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E726DD-6897-6063-CE48-5D806E8B2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13</xdr:row>
      <xdr:rowOff>171450</xdr:rowOff>
    </xdr:from>
    <xdr:to>
      <xdr:col>10</xdr:col>
      <xdr:colOff>599872</xdr:colOff>
      <xdr:row>24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1EEFEF-C9AC-72A1-1962-FBE02C900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601980</xdr:colOff>
      <xdr:row>26</xdr:row>
      <xdr:rowOff>11430</xdr:rowOff>
    </xdr:from>
    <xdr:to>
      <xdr:col>11</xdr:col>
      <xdr:colOff>48638</xdr:colOff>
      <xdr:row>34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923814-674C-9DE5-49C4-81AD0792D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5040000" cy="38557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602D8-2B53-45F8-B748-45BF2D480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335280</xdr:colOff>
      <xdr:row>8</xdr:row>
      <xdr:rowOff>0</xdr:rowOff>
    </xdr:from>
    <xdr:ext cx="4704720" cy="38328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E8061B-7B17-4A92-8223-BEE5367F0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31</xdr:row>
      <xdr:rowOff>0</xdr:rowOff>
    </xdr:from>
    <xdr:ext cx="4724400" cy="32385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C1D64B-D80A-44AD-9CFE-94154C4A2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Ranjani_Project2_Dashboard.xlsx" TargetMode="External"/><Relationship Id="rId1" Type="http://schemas.openxmlformats.org/officeDocument/2006/relationships/externalLinkPath" Target="Ranjani_Project2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latform Data"/>
      <sheetName val="Chart1 - Market Share"/>
      <sheetName val="Chart2 - Order Value"/>
      <sheetName val="Pivot1 - Avg Order Value"/>
      <sheetName val="Pivot2 - Coverage"/>
      <sheetName val="Pivot3 - Delivery Fee"/>
      <sheetName val="Key Findings"/>
    </sheetNames>
    <sheetDataSet>
      <sheetData sheetId="0">
        <row r="55">
          <cell r="C55" t="str">
            <v>Market Share %</v>
          </cell>
          <cell r="G55" t="str">
            <v>Base Order Value</v>
          </cell>
          <cell r="K55" t="str">
            <v>Cities</v>
          </cell>
        </row>
        <row r="56">
          <cell r="B56" t="str">
            <v>Flipkart</v>
          </cell>
          <cell r="C56">
            <v>48</v>
          </cell>
          <cell r="F56" t="str">
            <v>Ajio Rush</v>
          </cell>
          <cell r="G56">
            <v>2200</v>
          </cell>
          <cell r="J56" t="str">
            <v>Blinkit</v>
          </cell>
          <cell r="K56">
            <v>30</v>
          </cell>
        </row>
        <row r="57">
          <cell r="B57" t="str">
            <v>Blinkit</v>
          </cell>
          <cell r="C57">
            <v>46</v>
          </cell>
          <cell r="F57" t="str">
            <v>Myntra</v>
          </cell>
          <cell r="G57">
            <v>1800</v>
          </cell>
          <cell r="J57" t="str">
            <v>Swiggy Instamart</v>
          </cell>
          <cell r="K57">
            <v>30</v>
          </cell>
        </row>
        <row r="58">
          <cell r="B58" t="str">
            <v>Amazon</v>
          </cell>
          <cell r="C58">
            <v>39</v>
          </cell>
          <cell r="F58" t="str">
            <v>Nykaa Fashion</v>
          </cell>
          <cell r="G58">
            <v>1700</v>
          </cell>
          <cell r="J58" t="str">
            <v>Amazon</v>
          </cell>
          <cell r="K58">
            <v>50</v>
          </cell>
        </row>
        <row r="59">
          <cell r="B59" t="str">
            <v>Zepto</v>
          </cell>
          <cell r="C59">
            <v>29</v>
          </cell>
          <cell r="F59" t="str">
            <v>AJIO</v>
          </cell>
          <cell r="G59">
            <v>1600</v>
          </cell>
          <cell r="J59" t="str">
            <v>Flipkart</v>
          </cell>
          <cell r="K59">
            <v>40</v>
          </cell>
        </row>
        <row r="60">
          <cell r="B60" t="str">
            <v>Swiggy Instamart</v>
          </cell>
          <cell r="C60">
            <v>25</v>
          </cell>
          <cell r="F60" t="str">
            <v>Myntra M-Now</v>
          </cell>
          <cell r="G60">
            <v>1500</v>
          </cell>
          <cell r="J60" t="str">
            <v>Zepto</v>
          </cell>
          <cell r="K60">
            <v>25</v>
          </cell>
        </row>
        <row r="61">
          <cell r="B61" t="str">
            <v>Myntra</v>
          </cell>
          <cell r="C61">
            <v>17</v>
          </cell>
          <cell r="F61" t="str">
            <v>Amazon</v>
          </cell>
          <cell r="G61">
            <v>1200</v>
          </cell>
          <cell r="J61" t="str">
            <v>BigBasket Now</v>
          </cell>
          <cell r="K61">
            <v>20</v>
          </cell>
        </row>
        <row r="62">
          <cell r="B62" t="str">
            <v>AJIO</v>
          </cell>
          <cell r="C62">
            <v>9</v>
          </cell>
          <cell r="F62" t="str">
            <v>Flipkart</v>
          </cell>
          <cell r="G62">
            <v>1100</v>
          </cell>
          <cell r="J62" t="str">
            <v>Flipkart Minutes</v>
          </cell>
          <cell r="K62">
            <v>15</v>
          </cell>
        </row>
        <row r="63">
          <cell r="B63" t="str">
            <v>Nykaa Fashion</v>
          </cell>
          <cell r="C63">
            <v>6</v>
          </cell>
          <cell r="F63" t="str">
            <v>BigBasket Now</v>
          </cell>
          <cell r="G63">
            <v>500</v>
          </cell>
          <cell r="J63" t="str">
            <v>AJIO</v>
          </cell>
          <cell r="K63">
            <v>10</v>
          </cell>
        </row>
        <row r="64">
          <cell r="B64" t="str">
            <v>BigBasket Now</v>
          </cell>
          <cell r="C64">
            <v>4</v>
          </cell>
          <cell r="F64" t="str">
            <v>Flipkart Minutes</v>
          </cell>
          <cell r="G64">
            <v>400</v>
          </cell>
          <cell r="J64" t="str">
            <v>Ajio Rush</v>
          </cell>
          <cell r="K64">
            <v>10</v>
          </cell>
        </row>
        <row r="65">
          <cell r="B65" t="str">
            <v>Myntra M-Now</v>
          </cell>
          <cell r="C65">
            <v>3</v>
          </cell>
          <cell r="F65" t="str">
            <v>Blinkit</v>
          </cell>
          <cell r="G65">
            <v>350</v>
          </cell>
          <cell r="J65" t="str">
            <v>Dunzo Daily</v>
          </cell>
          <cell r="K65">
            <v>10</v>
          </cell>
        </row>
        <row r="66">
          <cell r="B66" t="str">
            <v>Ajio Rush</v>
          </cell>
          <cell r="C66">
            <v>3</v>
          </cell>
          <cell r="F66" t="str">
            <v>Swiggy Instamart</v>
          </cell>
          <cell r="G66">
            <v>340</v>
          </cell>
          <cell r="J66" t="str">
            <v>Myntra</v>
          </cell>
          <cell r="K66">
            <v>100</v>
          </cell>
        </row>
        <row r="67">
          <cell r="B67" t="str">
            <v>Flipkart Minutes</v>
          </cell>
          <cell r="C67">
            <v>2</v>
          </cell>
          <cell r="F67" t="str">
            <v>Zepto</v>
          </cell>
          <cell r="G67">
            <v>320</v>
          </cell>
          <cell r="J67" t="str">
            <v>Myntra M-Now</v>
          </cell>
          <cell r="K67">
            <v>4</v>
          </cell>
        </row>
        <row r="68">
          <cell r="B68" t="str">
            <v>Dunzo Daily</v>
          </cell>
          <cell r="C68">
            <v>1</v>
          </cell>
          <cell r="F68" t="str">
            <v>Dunzo Daily</v>
          </cell>
          <cell r="G68">
            <v>300</v>
          </cell>
          <cell r="J68" t="str">
            <v>Nykaa Fashion</v>
          </cell>
          <cell r="K68">
            <v>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92.756628587966" createdVersion="8" refreshedVersion="8" minRefreshableVersion="3" recordCount="13" xr:uid="{2A7EE9C3-4F97-4061-B3D3-30F4222AE3FE}">
  <cacheSource type="worksheet">
    <worksheetSource name="Table2"/>
  </cacheSource>
  <cacheFields count="14">
    <cacheField name="Platform" numFmtId="0">
      <sharedItems/>
    </cacheField>
    <cacheField name="Platform Type" numFmtId="0">
      <sharedItems count="5">
        <s v="Quick Commerce"/>
        <s v="E-commerce"/>
        <s v="Fashion E-commerce"/>
        <s v="Fashion Quick"/>
        <s v="Fashion"/>
      </sharedItems>
    </cacheField>
    <cacheField name="Avg Delivery Time" numFmtId="0">
      <sharedItems/>
    </cacheField>
    <cacheField name="Cities Presence" numFmtId="0">
      <sharedItems/>
    </cacheField>
    <cacheField name="Same day availability" numFmtId="0">
      <sharedItems/>
    </cacheField>
    <cacheField name="Delivery Fee" numFmtId="0">
      <sharedItems containsSemiMixedTypes="0" containsString="0" containsNumber="1" containsInteger="1" minValue="25" maxValue="100"/>
    </cacheField>
    <cacheField name="Min Order  Value" numFmtId="0">
      <sharedItems containsSemiMixedTypes="0" containsString="0" containsNumber="1" containsInteger="1" minValue="0" maxValue="799"/>
    </cacheField>
    <cacheField name="Base Order Value" numFmtId="0">
      <sharedItems containsSemiMixedTypes="0" containsString="0" containsNumber="1" containsInteger="1" minValue="300" maxValue="2200"/>
    </cacheField>
    <cacheField name="Fashion" numFmtId="0">
      <sharedItems/>
    </cacheField>
    <cacheField name="Electronics" numFmtId="0">
      <sharedItems/>
    </cacheField>
    <cacheField name="Grocery" numFmtId="0">
      <sharedItems/>
    </cacheField>
    <cacheField name="Delivery Model" numFmtId="0">
      <sharedItems/>
    </cacheField>
    <cacheField name="Coverage Type" numFmtId="0">
      <sharedItems/>
    </cacheField>
    <cacheField name="Market Share %" numFmtId="0">
      <sharedItems containsSemiMixedTypes="0" containsString="0" containsNumber="1" containsInteger="1" minValue="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92.762371643519" createdVersion="8" refreshedVersion="8" minRefreshableVersion="3" recordCount="14" xr:uid="{E557EA88-8535-438D-88C5-DC5B44A6F911}">
  <cacheSource type="worksheet">
    <worksheetSource ref="A1:N1048576" sheet="Platform data"/>
  </cacheSource>
  <cacheFields count="14">
    <cacheField name="Platform" numFmtId="0">
      <sharedItems containsBlank="1"/>
    </cacheField>
    <cacheField name="Platform Type" numFmtId="0">
      <sharedItems containsBlank="1"/>
    </cacheField>
    <cacheField name="Avg Delivery Time" numFmtId="0">
      <sharedItems containsBlank="1"/>
    </cacheField>
    <cacheField name="Cities Presence" numFmtId="0">
      <sharedItems containsBlank="1"/>
    </cacheField>
    <cacheField name="Same day availability" numFmtId="0">
      <sharedItems containsBlank="1"/>
    </cacheField>
    <cacheField name="Delivery Fee" numFmtId="0">
      <sharedItems containsString="0" containsBlank="1" containsNumber="1" containsInteger="1" minValue="25" maxValue="100"/>
    </cacheField>
    <cacheField name="Min Order  Value" numFmtId="0">
      <sharedItems containsString="0" containsBlank="1" containsNumber="1" containsInteger="1" minValue="0" maxValue="799"/>
    </cacheField>
    <cacheField name="Base Order Value" numFmtId="0">
      <sharedItems containsString="0" containsBlank="1" containsNumber="1" containsInteger="1" minValue="300" maxValue="2200"/>
    </cacheField>
    <cacheField name="Fashion" numFmtId="0">
      <sharedItems containsBlank="1"/>
    </cacheField>
    <cacheField name="Electronics" numFmtId="0">
      <sharedItems containsBlank="1"/>
    </cacheField>
    <cacheField name="Grocery" numFmtId="0">
      <sharedItems containsBlank="1"/>
    </cacheField>
    <cacheField name="Delivery Model" numFmtId="0">
      <sharedItems containsBlank="1" count="3">
        <s v="Dark Store"/>
        <s v="Warehouse"/>
        <m/>
      </sharedItems>
    </cacheField>
    <cacheField name="Coverage Type" numFmtId="0">
      <sharedItems containsBlank="1" count="5">
        <s v="Metro + Tier1"/>
        <s v="Metro"/>
        <s v="Pan-India"/>
        <s v="Metro Only"/>
        <m/>
      </sharedItems>
    </cacheField>
    <cacheField name="Market Share %" numFmtId="0">
      <sharedItems containsString="0" containsBlank="1" containsNumber="1" containsInteger="1" minValue="1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Blinkit"/>
    <x v="0"/>
    <s v="10-20 min"/>
    <s v="30+"/>
    <s v="Yes"/>
    <n v="30"/>
    <n v="99"/>
    <n v="350"/>
    <s v="Limited"/>
    <s v="Yes"/>
    <s v="Yes"/>
    <s v="Dark Store"/>
    <s v="Metro + Tier1"/>
    <n v="46"/>
  </r>
  <r>
    <s v="Zepto"/>
    <x v="0"/>
    <s v="10-20 min"/>
    <s v="25+"/>
    <s v="Yes"/>
    <n v="25"/>
    <n v="99"/>
    <n v="320"/>
    <s v="Limited"/>
    <s v="Yes"/>
    <s v="Yes"/>
    <s v="Dark Store"/>
    <s v="Metro + Tier1"/>
    <n v="29"/>
  </r>
  <r>
    <s v="Swiggy Instamart"/>
    <x v="0"/>
    <s v="15-30 min"/>
    <s v="30+"/>
    <s v="Yes"/>
    <n v="30"/>
    <n v="99"/>
    <n v="340"/>
    <s v="Limited"/>
    <s v="Yes"/>
    <s v="Yes"/>
    <s v="Dark Store"/>
    <s v="Metro + Tier1"/>
    <n v="25"/>
  </r>
  <r>
    <s v="BigBasket Now"/>
    <x v="0"/>
    <s v="20-30 min"/>
    <s v="20+"/>
    <s v="Yes"/>
    <n v="40"/>
    <n v="149"/>
    <n v="500"/>
    <s v="No"/>
    <s v="Limited"/>
    <s v="Yes"/>
    <s v="Dark Store"/>
    <s v="Metro + Tier1"/>
    <n v="4"/>
  </r>
  <r>
    <s v="Flipkart Minutes"/>
    <x v="0"/>
    <s v="10-20 min"/>
    <s v="15+"/>
    <s v="Yes"/>
    <n v="30"/>
    <n v="100"/>
    <n v="400"/>
    <s v="Limited"/>
    <s v="Yes"/>
    <s v="Limited"/>
    <s v="Dark Store"/>
    <s v="Metro"/>
    <n v="2"/>
  </r>
  <r>
    <s v="Dunzo Daily"/>
    <x v="0"/>
    <s v="20-30 min"/>
    <s v="10"/>
    <s v="Yes"/>
    <n v="30"/>
    <n v="99"/>
    <n v="300"/>
    <s v="No"/>
    <s v="Limited"/>
    <s v="Yes"/>
    <s v="Dark Store"/>
    <s v="Metro"/>
    <n v="1"/>
  </r>
  <r>
    <s v="Amazon"/>
    <x v="1"/>
    <s v="4-24 hrs"/>
    <s v="50+"/>
    <s v="No"/>
    <n v="100"/>
    <n v="0"/>
    <n v="1200"/>
    <s v="Yes"/>
    <s v="Yes"/>
    <s v="Yes"/>
    <s v="Warehouse"/>
    <s v="Pan-India"/>
    <n v="39"/>
  </r>
  <r>
    <s v="Flipkart"/>
    <x v="1"/>
    <s v="Same/Next Day"/>
    <s v="40+"/>
    <s v="Yes"/>
    <n v="80"/>
    <n v="500"/>
    <n v="1100"/>
    <s v="Yes"/>
    <s v="Yes"/>
    <s v="Limited"/>
    <s v="Warehouse"/>
    <s v="Pan-India"/>
    <n v="48"/>
  </r>
  <r>
    <s v="Myntra"/>
    <x v="2"/>
    <s v="1-2 days"/>
    <s v="Pan-India"/>
    <s v="No"/>
    <n v="50"/>
    <n v="799"/>
    <n v="1800"/>
    <s v="Yes"/>
    <s v="No"/>
    <s v="No"/>
    <s v="Warehouse"/>
    <s v="Pan-India"/>
    <n v="17"/>
  </r>
  <r>
    <s v="Myntra M-Now"/>
    <x v="3"/>
    <s v="30-120 min"/>
    <s v="4 metros"/>
    <s v="Yes"/>
    <n v="50"/>
    <n v="799"/>
    <n v="1500"/>
    <s v="Yes"/>
    <s v="No"/>
    <s v="No"/>
    <s v="Dark Store"/>
    <s v="Metro Only"/>
    <n v="3"/>
  </r>
  <r>
    <s v="Ajio Rush"/>
    <x v="3"/>
    <s v="2-4 hrs"/>
    <s v="10+"/>
    <s v="Yes"/>
    <n v="99"/>
    <n v="599"/>
    <n v="2200"/>
    <s v="Yes"/>
    <s v="No"/>
    <s v="No"/>
    <s v="Dark Store"/>
    <s v="Metro Only"/>
    <n v="3"/>
  </r>
  <r>
    <s v="AJIO"/>
    <x v="4"/>
    <s v="1-2 days"/>
    <s v="10+"/>
    <s v="No"/>
    <n v="99"/>
    <n v="599"/>
    <n v="1600"/>
    <s v="Yes"/>
    <s v="No"/>
    <s v="No"/>
    <s v="Warehouse"/>
    <s v="Pan-India"/>
    <n v="9"/>
  </r>
  <r>
    <s v="Nykaa Fashion"/>
    <x v="4"/>
    <s v="1-2 days"/>
    <s v="10"/>
    <s v="No"/>
    <n v="100"/>
    <n v="799"/>
    <n v="1700"/>
    <s v="Yes"/>
    <s v="No"/>
    <s v="No"/>
    <s v="Warehouse"/>
    <s v="Pan-India"/>
    <n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Blinkit"/>
    <s v="Quick Commerce"/>
    <s v="10-20 min"/>
    <s v="30+"/>
    <s v="Yes"/>
    <n v="30"/>
    <n v="99"/>
    <n v="350"/>
    <s v="Limited"/>
    <s v="Yes"/>
    <s v="Yes"/>
    <x v="0"/>
    <x v="0"/>
    <n v="46"/>
  </r>
  <r>
    <s v="Zepto"/>
    <s v="Quick Commerce"/>
    <s v="10-20 min"/>
    <s v="25+"/>
    <s v="Yes"/>
    <n v="25"/>
    <n v="99"/>
    <n v="320"/>
    <s v="Limited"/>
    <s v="Yes"/>
    <s v="Yes"/>
    <x v="0"/>
    <x v="0"/>
    <n v="29"/>
  </r>
  <r>
    <s v="Swiggy Instamart"/>
    <s v="Quick Commerce"/>
    <s v="15-30 min"/>
    <s v="30+"/>
    <s v="Yes"/>
    <n v="30"/>
    <n v="99"/>
    <n v="340"/>
    <s v="Limited"/>
    <s v="Yes"/>
    <s v="Yes"/>
    <x v="0"/>
    <x v="0"/>
    <n v="25"/>
  </r>
  <r>
    <s v="BigBasket Now"/>
    <s v="Quick Commerce"/>
    <s v="20-30 min"/>
    <s v="20+"/>
    <s v="Yes"/>
    <n v="40"/>
    <n v="149"/>
    <n v="500"/>
    <s v="No"/>
    <s v="Limited"/>
    <s v="Yes"/>
    <x v="0"/>
    <x v="0"/>
    <n v="4"/>
  </r>
  <r>
    <s v="Flipkart Minutes"/>
    <s v="Quick Commerce"/>
    <s v="10-20 min"/>
    <s v="15+"/>
    <s v="Yes"/>
    <n v="30"/>
    <n v="100"/>
    <n v="400"/>
    <s v="Limited"/>
    <s v="Yes"/>
    <s v="Limited"/>
    <x v="0"/>
    <x v="1"/>
    <n v="2"/>
  </r>
  <r>
    <s v="Dunzo Daily"/>
    <s v="Quick Commerce"/>
    <s v="20-30 min"/>
    <s v="10"/>
    <s v="Yes"/>
    <n v="30"/>
    <n v="99"/>
    <n v="300"/>
    <s v="No"/>
    <s v="Limited"/>
    <s v="Yes"/>
    <x v="0"/>
    <x v="1"/>
    <n v="1"/>
  </r>
  <r>
    <s v="Amazon"/>
    <s v="E-commerce"/>
    <s v="4-24 hrs"/>
    <s v="50+"/>
    <s v="No"/>
    <n v="100"/>
    <n v="0"/>
    <n v="1200"/>
    <s v="Yes"/>
    <s v="Yes"/>
    <s v="Yes"/>
    <x v="1"/>
    <x v="2"/>
    <n v="39"/>
  </r>
  <r>
    <s v="Flipkart"/>
    <s v="E-commerce"/>
    <s v="Same/Next Day"/>
    <s v="40+"/>
    <s v="Yes"/>
    <n v="80"/>
    <n v="500"/>
    <n v="1100"/>
    <s v="Yes"/>
    <s v="Yes"/>
    <s v="Limited"/>
    <x v="1"/>
    <x v="2"/>
    <n v="48"/>
  </r>
  <r>
    <s v="Myntra"/>
    <s v="Fashion E-commerce"/>
    <s v="1-2 days"/>
    <s v="Pan-India"/>
    <s v="No"/>
    <n v="50"/>
    <n v="799"/>
    <n v="1800"/>
    <s v="Yes"/>
    <s v="No"/>
    <s v="No"/>
    <x v="1"/>
    <x v="2"/>
    <n v="17"/>
  </r>
  <r>
    <s v="Myntra M-Now"/>
    <s v="Fashion Quick"/>
    <s v="30-120 min"/>
    <s v="4 metros"/>
    <s v="Yes"/>
    <n v="50"/>
    <n v="799"/>
    <n v="1500"/>
    <s v="Yes"/>
    <s v="No"/>
    <s v="No"/>
    <x v="0"/>
    <x v="3"/>
    <n v="3"/>
  </r>
  <r>
    <s v="Ajio Rush"/>
    <s v="Fashion Quick"/>
    <s v="2-4 hrs"/>
    <s v="10+"/>
    <s v="Yes"/>
    <n v="99"/>
    <n v="599"/>
    <n v="2200"/>
    <s v="Yes"/>
    <s v="No"/>
    <s v="No"/>
    <x v="0"/>
    <x v="3"/>
    <n v="3"/>
  </r>
  <r>
    <s v="AJIO"/>
    <s v="Fashion"/>
    <s v="1-2 days"/>
    <s v="10+"/>
    <s v="No"/>
    <n v="99"/>
    <n v="599"/>
    <n v="1600"/>
    <s v="Yes"/>
    <s v="No"/>
    <s v="No"/>
    <x v="1"/>
    <x v="2"/>
    <n v="9"/>
  </r>
  <r>
    <s v="Nykaa Fashion"/>
    <s v="Fashion"/>
    <s v="1-2 days"/>
    <s v="10"/>
    <s v="No"/>
    <n v="100"/>
    <n v="799"/>
    <n v="1700"/>
    <s v="Yes"/>
    <s v="No"/>
    <s v="No"/>
    <x v="1"/>
    <x v="2"/>
    <n v="6"/>
  </r>
  <r>
    <m/>
    <m/>
    <m/>
    <m/>
    <m/>
    <m/>
    <m/>
    <m/>
    <m/>
    <m/>
    <m/>
    <x v="2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981C6-B3A8-49A1-BD2A-1547BD5BC0BA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Delivery model">
  <location ref="A28:C31" firstHeaderRow="0" firstDataRow="1" firstDataCol="1"/>
  <pivotFields count="14"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elivery Fee" fld="5" subtotal="average" baseField="11" baseItem="2"/>
    <dataField name="No of Platform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1" type="button" dataOnly="0" labelOnly="1" outline="0" axis="axisRow" fieldPosition="0"/>
    </format>
    <format dxfId="2">
      <pivotArea dataOnly="0" labelOnly="1" fieldPosition="0">
        <references count="1">
          <reference field="1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5BEAE-0070-4F12-821A-7D1F53C6F9BF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overage type">
  <location ref="A16:C21" firstHeaderRow="0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h="1" x="4"/>
        <item t="default"/>
      </items>
    </pivotField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arket Share %" fld="13" subtotal="average" baseField="12" baseItem="0"/>
    <dataField name="No of Platform"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2" type="button" dataOnly="0" labelOnly="1" outline="0" axis="axisRow" fieldPosition="0"/>
    </format>
    <format dxfId="8">
      <pivotArea dataOnly="0" labelOnly="1" fieldPosition="0">
        <references count="1">
          <reference field="1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DE1A2-E76E-420B-B0F8-9E6AC1F2C9C5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Platform type">
  <location ref="A3:C9" firstHeaderRow="0" firstDataRow="1" firstDataCol="1"/>
  <pivotFields count="14">
    <pivotField showAll="0"/>
    <pivotField axis="axisRow" dataField="1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ase Order Value" fld="7" subtotal="average" baseField="1" baseItem="0"/>
    <dataField name="No of Platform " fld="1" subtotal="count" baseField="0" baseItem="0"/>
  </dataFields>
  <formats count="10">
    <format dxfId="21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field="1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A6722C-9C45-4B20-8BE9-0191E94C2C0B}" name="Table2" displayName="Table2" ref="A1:N14" totalsRowShown="0" dataDxfId="22">
  <autoFilter ref="A1:N14" xr:uid="{99A6722C-9C45-4B20-8BE9-0191E94C2C0B}"/>
  <tableColumns count="14">
    <tableColumn id="1" xr3:uid="{5A34071C-FBAB-4773-9D2F-D5B84533D32C}" name="Platform" dataDxfId="36"/>
    <tableColumn id="2" xr3:uid="{4CD7FC33-B5FF-4B11-9C70-F26FDC6A3384}" name="Platform Type" dataDxfId="35"/>
    <tableColumn id="3" xr3:uid="{386C5B03-C459-407C-B314-32FB09BB5BCF}" name="Avg Delivery Time" dataDxfId="34"/>
    <tableColumn id="4" xr3:uid="{1A438050-3B00-4E2C-A01F-4746E206474F}" name="Cities Presence" dataDxfId="33"/>
    <tableColumn id="14" xr3:uid="{BA87C8AC-C012-4D0D-8927-5098551EF273}" name="Same day availability" dataDxfId="32"/>
    <tableColumn id="5" xr3:uid="{1DCA33FB-6538-4DC8-A7BD-DD82436C4199}" name="Delivery Fee" dataDxfId="31"/>
    <tableColumn id="6" xr3:uid="{CA055217-2594-4EBB-9052-2893BEFB843E}" name="Min Order  Value" dataDxfId="30"/>
    <tableColumn id="7" xr3:uid="{7BBCDB5F-22B5-408B-B714-70C6B7CC2514}" name="Base Order Value" dataDxfId="29"/>
    <tableColumn id="8" xr3:uid="{113AE620-9B4A-42E1-AFF0-08096C44848F}" name="Fashion" dataDxfId="28"/>
    <tableColumn id="9" xr3:uid="{7B05BB88-C457-45BD-AC5D-128E266E8FBE}" name="Electronics" dataDxfId="27"/>
    <tableColumn id="10" xr3:uid="{AABD6FE4-03B7-44CA-AE3B-5110AA17D5CE}" name="Grocery" dataDxfId="26"/>
    <tableColumn id="11" xr3:uid="{64FC24A0-FFE3-47DB-A852-8702D3336EE4}" name="Delivery Model" dataDxfId="25"/>
    <tableColumn id="12" xr3:uid="{14795AB3-0AA7-413C-BA67-748EBFE1C1E3}" name="Coverage Type" dataDxfId="24"/>
    <tableColumn id="13" xr3:uid="{1228A8AF-2CFA-4213-BB92-2B7B3D2EB584}" name="Market Share %" dataDxfId="2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workbookViewId="0">
      <selection activeCell="E22" sqref="E22"/>
    </sheetView>
  </sheetViews>
  <sheetFormatPr defaultRowHeight="14.4" x14ac:dyDescent="0.3"/>
  <cols>
    <col min="1" max="1" width="14.88671875" bestFit="1" customWidth="1"/>
    <col min="2" max="2" width="18.21875" bestFit="1" customWidth="1"/>
    <col min="3" max="3" width="19" customWidth="1"/>
    <col min="4" max="4" width="15.88671875" customWidth="1"/>
    <col min="5" max="5" width="21.109375" bestFit="1" customWidth="1"/>
    <col min="6" max="6" width="13.5546875" customWidth="1"/>
    <col min="7" max="7" width="17.5546875" bestFit="1" customWidth="1"/>
    <col min="8" max="8" width="18.33203125" customWidth="1"/>
    <col min="9" max="9" width="9.6640625" bestFit="1" customWidth="1"/>
    <col min="10" max="10" width="11.88671875" customWidth="1"/>
    <col min="11" max="11" width="9.44140625" customWidth="1"/>
    <col min="12" max="12" width="16.109375" customWidth="1"/>
    <col min="13" max="13" width="15.88671875" customWidth="1"/>
    <col min="14" max="14" width="17.21875" customWidth="1"/>
  </cols>
  <sheetData>
    <row r="1" spans="1:14" x14ac:dyDescent="0.3">
      <c r="A1" t="s">
        <v>0</v>
      </c>
      <c r="B1" t="s">
        <v>48</v>
      </c>
      <c r="C1" t="s">
        <v>49</v>
      </c>
      <c r="D1" t="s">
        <v>50</v>
      </c>
      <c r="E1" t="s">
        <v>57</v>
      </c>
      <c r="F1" t="s">
        <v>51</v>
      </c>
      <c r="G1" t="s">
        <v>52</v>
      </c>
      <c r="H1" t="s">
        <v>53</v>
      </c>
      <c r="I1" t="s">
        <v>1</v>
      </c>
      <c r="J1" t="s">
        <v>2</v>
      </c>
      <c r="K1" t="s">
        <v>3</v>
      </c>
      <c r="L1" t="s">
        <v>54</v>
      </c>
      <c r="M1" t="s">
        <v>55</v>
      </c>
      <c r="N1" t="s">
        <v>56</v>
      </c>
    </row>
    <row r="2" spans="1:14" x14ac:dyDescent="0.3">
      <c r="A2" s="4" t="s">
        <v>4</v>
      </c>
      <c r="B2" s="4" t="s">
        <v>5</v>
      </c>
      <c r="C2" s="4" t="s">
        <v>6</v>
      </c>
      <c r="D2" s="4" t="s">
        <v>7</v>
      </c>
      <c r="E2" s="5" t="s">
        <v>9</v>
      </c>
      <c r="F2" s="4">
        <v>30</v>
      </c>
      <c r="G2" s="4">
        <v>99</v>
      </c>
      <c r="H2" s="4">
        <v>350</v>
      </c>
      <c r="I2" s="4" t="s">
        <v>8</v>
      </c>
      <c r="J2" s="4" t="s">
        <v>9</v>
      </c>
      <c r="K2" s="4" t="s">
        <v>9</v>
      </c>
      <c r="L2" s="4" t="s">
        <v>10</v>
      </c>
      <c r="M2" s="4" t="s">
        <v>11</v>
      </c>
      <c r="N2" s="4">
        <v>46</v>
      </c>
    </row>
    <row r="3" spans="1:14" x14ac:dyDescent="0.3">
      <c r="A3" s="4" t="s">
        <v>12</v>
      </c>
      <c r="B3" s="4" t="s">
        <v>5</v>
      </c>
      <c r="C3" s="4" t="s">
        <v>6</v>
      </c>
      <c r="D3" s="4" t="s">
        <v>13</v>
      </c>
      <c r="E3" s="5" t="s">
        <v>9</v>
      </c>
      <c r="F3" s="4">
        <v>25</v>
      </c>
      <c r="G3" s="4">
        <v>99</v>
      </c>
      <c r="H3" s="4">
        <v>320</v>
      </c>
      <c r="I3" s="4" t="s">
        <v>8</v>
      </c>
      <c r="J3" s="4" t="s">
        <v>9</v>
      </c>
      <c r="K3" s="4" t="s">
        <v>9</v>
      </c>
      <c r="L3" s="4" t="s">
        <v>10</v>
      </c>
      <c r="M3" s="4" t="s">
        <v>11</v>
      </c>
      <c r="N3" s="4">
        <v>29</v>
      </c>
    </row>
    <row r="4" spans="1:14" x14ac:dyDescent="0.3">
      <c r="A4" s="4" t="s">
        <v>14</v>
      </c>
      <c r="B4" s="4" t="s">
        <v>5</v>
      </c>
      <c r="C4" s="4" t="s">
        <v>15</v>
      </c>
      <c r="D4" s="4" t="s">
        <v>7</v>
      </c>
      <c r="E4" s="5" t="s">
        <v>9</v>
      </c>
      <c r="F4" s="4">
        <v>30</v>
      </c>
      <c r="G4" s="4">
        <v>99</v>
      </c>
      <c r="H4" s="4">
        <v>340</v>
      </c>
      <c r="I4" s="4" t="s">
        <v>8</v>
      </c>
      <c r="J4" s="4" t="s">
        <v>9</v>
      </c>
      <c r="K4" s="4" t="s">
        <v>9</v>
      </c>
      <c r="L4" s="4" t="s">
        <v>10</v>
      </c>
      <c r="M4" s="4" t="s">
        <v>11</v>
      </c>
      <c r="N4" s="4">
        <v>25</v>
      </c>
    </row>
    <row r="5" spans="1:14" x14ac:dyDescent="0.3">
      <c r="A5" s="4" t="s">
        <v>16</v>
      </c>
      <c r="B5" s="4" t="s">
        <v>5</v>
      </c>
      <c r="C5" s="4" t="s">
        <v>17</v>
      </c>
      <c r="D5" s="4" t="s">
        <v>18</v>
      </c>
      <c r="E5" s="5" t="s">
        <v>9</v>
      </c>
      <c r="F5" s="4">
        <v>40</v>
      </c>
      <c r="G5" s="4">
        <v>149</v>
      </c>
      <c r="H5" s="4">
        <v>500</v>
      </c>
      <c r="I5" s="4" t="s">
        <v>19</v>
      </c>
      <c r="J5" s="4" t="s">
        <v>8</v>
      </c>
      <c r="K5" s="4" t="s">
        <v>9</v>
      </c>
      <c r="L5" s="4" t="s">
        <v>10</v>
      </c>
      <c r="M5" s="4" t="s">
        <v>11</v>
      </c>
      <c r="N5" s="4">
        <v>4</v>
      </c>
    </row>
    <row r="6" spans="1:14" x14ac:dyDescent="0.3">
      <c r="A6" s="4" t="s">
        <v>20</v>
      </c>
      <c r="B6" s="4" t="s">
        <v>5</v>
      </c>
      <c r="C6" s="4" t="s">
        <v>6</v>
      </c>
      <c r="D6" s="4" t="s">
        <v>21</v>
      </c>
      <c r="E6" s="5" t="s">
        <v>9</v>
      </c>
      <c r="F6" s="4">
        <v>30</v>
      </c>
      <c r="G6" s="4">
        <v>100</v>
      </c>
      <c r="H6" s="4">
        <v>400</v>
      </c>
      <c r="I6" s="4" t="s">
        <v>8</v>
      </c>
      <c r="J6" s="4" t="s">
        <v>9</v>
      </c>
      <c r="K6" s="4" t="s">
        <v>8</v>
      </c>
      <c r="L6" s="4" t="s">
        <v>10</v>
      </c>
      <c r="M6" s="4" t="s">
        <v>22</v>
      </c>
      <c r="N6" s="4">
        <v>2</v>
      </c>
    </row>
    <row r="7" spans="1:14" x14ac:dyDescent="0.3">
      <c r="A7" s="4" t="s">
        <v>23</v>
      </c>
      <c r="B7" s="4" t="s">
        <v>5</v>
      </c>
      <c r="C7" s="4" t="s">
        <v>17</v>
      </c>
      <c r="D7" s="4" t="s">
        <v>24</v>
      </c>
      <c r="E7" s="5" t="s">
        <v>9</v>
      </c>
      <c r="F7" s="4">
        <v>30</v>
      </c>
      <c r="G7" s="4">
        <v>99</v>
      </c>
      <c r="H7" s="4">
        <v>300</v>
      </c>
      <c r="I7" s="4" t="s">
        <v>19</v>
      </c>
      <c r="J7" s="4" t="s">
        <v>8</v>
      </c>
      <c r="K7" s="4" t="s">
        <v>9</v>
      </c>
      <c r="L7" s="4" t="s">
        <v>10</v>
      </c>
      <c r="M7" s="4" t="s">
        <v>22</v>
      </c>
      <c r="N7" s="4">
        <v>1</v>
      </c>
    </row>
    <row r="8" spans="1:14" x14ac:dyDescent="0.3">
      <c r="A8" s="4" t="s">
        <v>25</v>
      </c>
      <c r="B8" s="4" t="s">
        <v>26</v>
      </c>
      <c r="C8" s="4" t="s">
        <v>27</v>
      </c>
      <c r="D8" s="4" t="s">
        <v>28</v>
      </c>
      <c r="E8" s="5" t="s">
        <v>19</v>
      </c>
      <c r="F8" s="4">
        <v>100</v>
      </c>
      <c r="G8" s="4">
        <v>0</v>
      </c>
      <c r="H8" s="4">
        <v>1200</v>
      </c>
      <c r="I8" s="4" t="s">
        <v>9</v>
      </c>
      <c r="J8" s="4" t="s">
        <v>9</v>
      </c>
      <c r="K8" s="4" t="s">
        <v>9</v>
      </c>
      <c r="L8" s="4" t="s">
        <v>29</v>
      </c>
      <c r="M8" s="4" t="s">
        <v>30</v>
      </c>
      <c r="N8" s="4">
        <v>39</v>
      </c>
    </row>
    <row r="9" spans="1:14" x14ac:dyDescent="0.3">
      <c r="A9" s="4" t="s">
        <v>31</v>
      </c>
      <c r="B9" s="4" t="s">
        <v>26</v>
      </c>
      <c r="C9" s="4" t="s">
        <v>32</v>
      </c>
      <c r="D9" s="4" t="s">
        <v>33</v>
      </c>
      <c r="E9" s="5" t="s">
        <v>9</v>
      </c>
      <c r="F9" s="4">
        <v>80</v>
      </c>
      <c r="G9" s="4">
        <v>500</v>
      </c>
      <c r="H9" s="4">
        <v>1100</v>
      </c>
      <c r="I9" s="4" t="s">
        <v>9</v>
      </c>
      <c r="J9" s="4" t="s">
        <v>9</v>
      </c>
      <c r="K9" s="4" t="s">
        <v>8</v>
      </c>
      <c r="L9" s="4" t="s">
        <v>29</v>
      </c>
      <c r="M9" s="4" t="s">
        <v>30</v>
      </c>
      <c r="N9" s="4">
        <v>48</v>
      </c>
    </row>
    <row r="10" spans="1:14" x14ac:dyDescent="0.3">
      <c r="A10" s="6" t="s">
        <v>34</v>
      </c>
      <c r="B10" s="6" t="s">
        <v>35</v>
      </c>
      <c r="C10" s="6" t="s">
        <v>36</v>
      </c>
      <c r="D10" s="6" t="s">
        <v>30</v>
      </c>
      <c r="E10" s="7" t="s">
        <v>19</v>
      </c>
      <c r="F10" s="6">
        <v>50</v>
      </c>
      <c r="G10" s="6">
        <v>799</v>
      </c>
      <c r="H10" s="6">
        <v>1800</v>
      </c>
      <c r="I10" s="6" t="s">
        <v>9</v>
      </c>
      <c r="J10" s="6" t="s">
        <v>19</v>
      </c>
      <c r="K10" s="6" t="s">
        <v>19</v>
      </c>
      <c r="L10" s="6" t="s">
        <v>29</v>
      </c>
      <c r="M10" s="6" t="s">
        <v>30</v>
      </c>
      <c r="N10" s="6">
        <v>17</v>
      </c>
    </row>
    <row r="11" spans="1:14" x14ac:dyDescent="0.3">
      <c r="A11" s="6" t="s">
        <v>37</v>
      </c>
      <c r="B11" s="6" t="s">
        <v>38</v>
      </c>
      <c r="C11" s="6" t="s">
        <v>39</v>
      </c>
      <c r="D11" s="6" t="s">
        <v>40</v>
      </c>
      <c r="E11" s="7" t="s">
        <v>9</v>
      </c>
      <c r="F11" s="6">
        <v>50</v>
      </c>
      <c r="G11" s="6">
        <v>799</v>
      </c>
      <c r="H11" s="6">
        <v>1500</v>
      </c>
      <c r="I11" s="6" t="s">
        <v>9</v>
      </c>
      <c r="J11" s="6" t="s">
        <v>19</v>
      </c>
      <c r="K11" s="6" t="s">
        <v>19</v>
      </c>
      <c r="L11" s="6" t="s">
        <v>10</v>
      </c>
      <c r="M11" s="6" t="s">
        <v>41</v>
      </c>
      <c r="N11" s="6">
        <v>3</v>
      </c>
    </row>
    <row r="12" spans="1:14" x14ac:dyDescent="0.3">
      <c r="A12" s="6" t="s">
        <v>45</v>
      </c>
      <c r="B12" s="6" t="s">
        <v>46</v>
      </c>
      <c r="C12" s="6" t="s">
        <v>47</v>
      </c>
      <c r="D12" s="6" t="s">
        <v>43</v>
      </c>
      <c r="E12" s="7" t="s">
        <v>9</v>
      </c>
      <c r="F12" s="6">
        <v>99</v>
      </c>
      <c r="G12" s="6">
        <v>599</v>
      </c>
      <c r="H12" s="6">
        <v>2200</v>
      </c>
      <c r="I12" s="6" t="s">
        <v>9</v>
      </c>
      <c r="J12" s="6" t="s">
        <v>19</v>
      </c>
      <c r="K12" s="6" t="s">
        <v>19</v>
      </c>
      <c r="L12" s="6" t="s">
        <v>10</v>
      </c>
      <c r="M12" s="6" t="s">
        <v>41</v>
      </c>
      <c r="N12" s="6">
        <v>3</v>
      </c>
    </row>
    <row r="13" spans="1:14" x14ac:dyDescent="0.3">
      <c r="A13" s="6" t="s">
        <v>42</v>
      </c>
      <c r="B13" s="6" t="s">
        <v>1</v>
      </c>
      <c r="C13" s="6" t="s">
        <v>36</v>
      </c>
      <c r="D13" s="6" t="s">
        <v>43</v>
      </c>
      <c r="E13" s="7" t="s">
        <v>19</v>
      </c>
      <c r="F13" s="6">
        <v>99</v>
      </c>
      <c r="G13" s="6">
        <v>599</v>
      </c>
      <c r="H13" s="6">
        <v>1600</v>
      </c>
      <c r="I13" s="6" t="s">
        <v>9</v>
      </c>
      <c r="J13" s="6" t="s">
        <v>19</v>
      </c>
      <c r="K13" s="6" t="s">
        <v>19</v>
      </c>
      <c r="L13" s="6" t="s">
        <v>29</v>
      </c>
      <c r="M13" s="6" t="s">
        <v>30</v>
      </c>
      <c r="N13" s="6">
        <v>9</v>
      </c>
    </row>
    <row r="14" spans="1:14" x14ac:dyDescent="0.3">
      <c r="A14" s="6" t="s">
        <v>44</v>
      </c>
      <c r="B14" s="6" t="s">
        <v>1</v>
      </c>
      <c r="C14" s="6" t="s">
        <v>36</v>
      </c>
      <c r="D14" s="6" t="s">
        <v>24</v>
      </c>
      <c r="E14" s="7" t="s">
        <v>19</v>
      </c>
      <c r="F14" s="6">
        <v>100</v>
      </c>
      <c r="G14" s="6">
        <v>799</v>
      </c>
      <c r="H14" s="6">
        <v>1700</v>
      </c>
      <c r="I14" s="6" t="s">
        <v>9</v>
      </c>
      <c r="J14" s="6" t="s">
        <v>19</v>
      </c>
      <c r="K14" s="6" t="s">
        <v>19</v>
      </c>
      <c r="L14" s="6" t="s">
        <v>29</v>
      </c>
      <c r="M14" s="6" t="s">
        <v>30</v>
      </c>
      <c r="N14" s="6">
        <v>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9A55-47CE-4AD4-B193-2C015FC71F86}">
  <dimension ref="A1:D34"/>
  <sheetViews>
    <sheetView workbookViewId="0">
      <selection sqref="A1:B1"/>
    </sheetView>
  </sheetViews>
  <sheetFormatPr defaultRowHeight="14.4" x14ac:dyDescent="0.3"/>
  <cols>
    <col min="1" max="1" width="19.88671875" customWidth="1"/>
    <col min="2" max="2" width="23.21875" customWidth="1"/>
  </cols>
  <sheetData>
    <row r="1" spans="1:4" ht="30" customHeight="1" x14ac:dyDescent="0.3">
      <c r="A1" s="15" t="s">
        <v>58</v>
      </c>
      <c r="B1" s="16"/>
    </row>
    <row r="2" spans="1:4" ht="19.8" customHeight="1" x14ac:dyDescent="0.3">
      <c r="A2" s="12" t="s">
        <v>0</v>
      </c>
      <c r="B2" s="12" t="s">
        <v>56</v>
      </c>
    </row>
    <row r="3" spans="1:4" x14ac:dyDescent="0.3">
      <c r="A3" s="8" t="s">
        <v>31</v>
      </c>
      <c r="B3" s="9">
        <v>48</v>
      </c>
      <c r="D3" s="13"/>
    </row>
    <row r="4" spans="1:4" x14ac:dyDescent="0.3">
      <c r="A4" s="10" t="s">
        <v>4</v>
      </c>
      <c r="B4" s="11">
        <v>46</v>
      </c>
    </row>
    <row r="5" spans="1:4" x14ac:dyDescent="0.3">
      <c r="A5" s="8" t="s">
        <v>25</v>
      </c>
      <c r="B5" s="9">
        <v>39</v>
      </c>
    </row>
    <row r="6" spans="1:4" x14ac:dyDescent="0.3">
      <c r="A6" s="10" t="s">
        <v>12</v>
      </c>
      <c r="B6" s="11">
        <v>29</v>
      </c>
    </row>
    <row r="7" spans="1:4" x14ac:dyDescent="0.3">
      <c r="A7" s="8" t="s">
        <v>14</v>
      </c>
      <c r="B7" s="9">
        <v>25</v>
      </c>
    </row>
    <row r="8" spans="1:4" x14ac:dyDescent="0.3">
      <c r="A8" s="3" t="s">
        <v>34</v>
      </c>
      <c r="B8" s="1">
        <v>17</v>
      </c>
    </row>
    <row r="9" spans="1:4" x14ac:dyDescent="0.3">
      <c r="A9" s="3" t="s">
        <v>42</v>
      </c>
      <c r="B9" s="1">
        <v>9</v>
      </c>
    </row>
    <row r="10" spans="1:4" x14ac:dyDescent="0.3">
      <c r="A10" s="3" t="s">
        <v>44</v>
      </c>
      <c r="B10" s="1">
        <v>6</v>
      </c>
    </row>
    <row r="11" spans="1:4" x14ac:dyDescent="0.3">
      <c r="A11" s="8" t="s">
        <v>16</v>
      </c>
      <c r="B11" s="9">
        <v>4</v>
      </c>
    </row>
    <row r="12" spans="1:4" x14ac:dyDescent="0.3">
      <c r="A12" s="3" t="s">
        <v>37</v>
      </c>
      <c r="B12" s="1">
        <v>3</v>
      </c>
    </row>
    <row r="13" spans="1:4" x14ac:dyDescent="0.3">
      <c r="A13" s="3" t="s">
        <v>45</v>
      </c>
      <c r="B13" s="1">
        <v>3</v>
      </c>
    </row>
    <row r="14" spans="1:4" x14ac:dyDescent="0.3">
      <c r="A14" s="10" t="s">
        <v>20</v>
      </c>
      <c r="B14" s="11">
        <v>2</v>
      </c>
    </row>
    <row r="15" spans="1:4" x14ac:dyDescent="0.3">
      <c r="A15" s="8" t="s">
        <v>23</v>
      </c>
      <c r="B15" s="9">
        <v>1</v>
      </c>
    </row>
    <row r="20" spans="1:2" ht="32.4" customHeight="1" x14ac:dyDescent="0.3">
      <c r="A20" s="15" t="s">
        <v>60</v>
      </c>
      <c r="B20" s="15"/>
    </row>
    <row r="21" spans="1:2" x14ac:dyDescent="0.3">
      <c r="A21" s="21" t="s">
        <v>0</v>
      </c>
      <c r="B21" s="21" t="s">
        <v>59</v>
      </c>
    </row>
    <row r="22" spans="1:2" x14ac:dyDescent="0.3">
      <c r="A22" s="3" t="s">
        <v>45</v>
      </c>
      <c r="B22" s="1">
        <v>2200</v>
      </c>
    </row>
    <row r="23" spans="1:2" x14ac:dyDescent="0.3">
      <c r="A23" s="3" t="s">
        <v>34</v>
      </c>
      <c r="B23" s="1">
        <v>1800</v>
      </c>
    </row>
    <row r="24" spans="1:2" x14ac:dyDescent="0.3">
      <c r="A24" s="3" t="s">
        <v>44</v>
      </c>
      <c r="B24" s="1">
        <v>1700</v>
      </c>
    </row>
    <row r="25" spans="1:2" x14ac:dyDescent="0.3">
      <c r="A25" s="3" t="s">
        <v>42</v>
      </c>
      <c r="B25" s="1">
        <v>1600</v>
      </c>
    </row>
    <row r="26" spans="1:2" x14ac:dyDescent="0.3">
      <c r="A26" s="3" t="s">
        <v>37</v>
      </c>
      <c r="B26" s="1">
        <v>1500</v>
      </c>
    </row>
    <row r="27" spans="1:2" x14ac:dyDescent="0.3">
      <c r="A27" s="17" t="s">
        <v>25</v>
      </c>
      <c r="B27" s="18">
        <v>1200</v>
      </c>
    </row>
    <row r="28" spans="1:2" x14ac:dyDescent="0.3">
      <c r="A28" s="19" t="s">
        <v>31</v>
      </c>
      <c r="B28" s="20">
        <v>1100</v>
      </c>
    </row>
    <row r="29" spans="1:2" x14ac:dyDescent="0.3">
      <c r="A29" s="17" t="s">
        <v>16</v>
      </c>
      <c r="B29" s="18">
        <v>500</v>
      </c>
    </row>
    <row r="30" spans="1:2" x14ac:dyDescent="0.3">
      <c r="A30" s="19" t="s">
        <v>20</v>
      </c>
      <c r="B30" s="20">
        <v>400</v>
      </c>
    </row>
    <row r="31" spans="1:2" x14ac:dyDescent="0.3">
      <c r="A31" s="17" t="s">
        <v>4</v>
      </c>
      <c r="B31" s="18">
        <v>350</v>
      </c>
    </row>
    <row r="32" spans="1:2" x14ac:dyDescent="0.3">
      <c r="A32" s="19" t="s">
        <v>14</v>
      </c>
      <c r="B32" s="20">
        <v>340</v>
      </c>
    </row>
    <row r="33" spans="1:2" x14ac:dyDescent="0.3">
      <c r="A33" s="17" t="s">
        <v>12</v>
      </c>
      <c r="B33" s="18">
        <v>320</v>
      </c>
    </row>
    <row r="34" spans="1:2" x14ac:dyDescent="0.3">
      <c r="A34" s="19" t="s">
        <v>23</v>
      </c>
      <c r="B34" s="20">
        <v>300</v>
      </c>
    </row>
  </sheetData>
  <mergeCells count="2">
    <mergeCell ref="A1:B1"/>
    <mergeCell ref="A20:B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7558-33E4-4F3B-B129-819565943466}">
  <dimension ref="A2:E31"/>
  <sheetViews>
    <sheetView tabSelected="1" topLeftCell="A8" zoomScale="83" workbookViewId="0">
      <selection activeCell="N31" sqref="N31"/>
    </sheetView>
  </sheetViews>
  <sheetFormatPr defaultRowHeight="14.4" x14ac:dyDescent="0.3"/>
  <cols>
    <col min="1" max="1" width="19.109375" bestFit="1" customWidth="1"/>
    <col min="2" max="2" width="24.109375" bestFit="1" customWidth="1"/>
    <col min="3" max="3" width="24.44140625" bestFit="1" customWidth="1"/>
  </cols>
  <sheetData>
    <row r="2" spans="1:5" ht="21" customHeight="1" x14ac:dyDescent="0.3">
      <c r="A2" s="32" t="s">
        <v>89</v>
      </c>
      <c r="B2" s="32"/>
      <c r="C2" s="32"/>
    </row>
    <row r="3" spans="1:5" ht="15" thickBot="1" x14ac:dyDescent="0.35">
      <c r="A3" s="26" t="s">
        <v>88</v>
      </c>
      <c r="B3" s="27" t="s">
        <v>87</v>
      </c>
      <c r="C3" s="27" t="s">
        <v>90</v>
      </c>
    </row>
    <row r="4" spans="1:5" ht="15" thickBot="1" x14ac:dyDescent="0.35">
      <c r="A4" s="28" t="s">
        <v>26</v>
      </c>
      <c r="B4" s="29">
        <v>1150</v>
      </c>
      <c r="C4" s="29">
        <v>2</v>
      </c>
    </row>
    <row r="5" spans="1:5" ht="15" thickBot="1" x14ac:dyDescent="0.35">
      <c r="A5" s="28" t="s">
        <v>1</v>
      </c>
      <c r="B5" s="29">
        <v>1650</v>
      </c>
      <c r="C5" s="29">
        <v>2</v>
      </c>
      <c r="E5" s="25"/>
    </row>
    <row r="6" spans="1:5" ht="15" thickBot="1" x14ac:dyDescent="0.35">
      <c r="A6" s="28" t="s">
        <v>35</v>
      </c>
      <c r="B6" s="29">
        <v>1800</v>
      </c>
      <c r="C6" s="29">
        <v>1</v>
      </c>
    </row>
    <row r="7" spans="1:5" ht="15" thickBot="1" x14ac:dyDescent="0.35">
      <c r="A7" s="28" t="s">
        <v>38</v>
      </c>
      <c r="B7" s="29">
        <v>1850</v>
      </c>
      <c r="C7" s="29">
        <v>2</v>
      </c>
    </row>
    <row r="8" spans="1:5" ht="15" thickBot="1" x14ac:dyDescent="0.35">
      <c r="A8" s="28" t="s">
        <v>5</v>
      </c>
      <c r="B8" s="29">
        <v>368.33333333333331</v>
      </c>
      <c r="C8" s="29">
        <v>6</v>
      </c>
    </row>
    <row r="9" spans="1:5" ht="15" thickBot="1" x14ac:dyDescent="0.35">
      <c r="A9" s="28" t="s">
        <v>86</v>
      </c>
      <c r="B9" s="29">
        <v>1023.8461538461538</v>
      </c>
      <c r="C9" s="29">
        <v>13</v>
      </c>
    </row>
    <row r="15" spans="1:5" ht="20.399999999999999" customHeight="1" x14ac:dyDescent="0.3">
      <c r="A15" s="32" t="s">
        <v>92</v>
      </c>
      <c r="B15" s="32"/>
      <c r="C15" s="32"/>
    </row>
    <row r="16" spans="1:5" ht="15" thickBot="1" x14ac:dyDescent="0.35">
      <c r="A16" s="30" t="s">
        <v>91</v>
      </c>
      <c r="B16" s="31" t="s">
        <v>93</v>
      </c>
      <c r="C16" s="31" t="s">
        <v>111</v>
      </c>
    </row>
    <row r="17" spans="1:3" ht="15" thickBot="1" x14ac:dyDescent="0.35">
      <c r="A17" s="28" t="s">
        <v>22</v>
      </c>
      <c r="B17" s="29">
        <v>1.5</v>
      </c>
      <c r="C17" s="29">
        <v>2</v>
      </c>
    </row>
    <row r="18" spans="1:3" ht="15" thickBot="1" x14ac:dyDescent="0.35">
      <c r="A18" s="28" t="s">
        <v>11</v>
      </c>
      <c r="B18" s="29">
        <v>26</v>
      </c>
      <c r="C18" s="29">
        <v>4</v>
      </c>
    </row>
    <row r="19" spans="1:3" ht="15" thickBot="1" x14ac:dyDescent="0.35">
      <c r="A19" s="28" t="s">
        <v>41</v>
      </c>
      <c r="B19" s="29">
        <v>3</v>
      </c>
      <c r="C19" s="29">
        <v>2</v>
      </c>
    </row>
    <row r="20" spans="1:3" ht="15" thickBot="1" x14ac:dyDescent="0.35">
      <c r="A20" s="28" t="s">
        <v>30</v>
      </c>
      <c r="B20" s="29">
        <v>23.8</v>
      </c>
      <c r="C20" s="29">
        <v>5</v>
      </c>
    </row>
    <row r="21" spans="1:3" ht="15" thickBot="1" x14ac:dyDescent="0.35">
      <c r="A21" s="28" t="s">
        <v>86</v>
      </c>
      <c r="B21" s="29">
        <v>17.846153846153847</v>
      </c>
      <c r="C21" s="29">
        <v>13</v>
      </c>
    </row>
    <row r="27" spans="1:3" ht="22.8" customHeight="1" x14ac:dyDescent="0.3">
      <c r="A27" s="14" t="s">
        <v>96</v>
      </c>
      <c r="B27" s="14"/>
      <c r="C27" s="14"/>
    </row>
    <row r="28" spans="1:3" ht="15" thickBot="1" x14ac:dyDescent="0.35">
      <c r="A28" s="30" t="s">
        <v>95</v>
      </c>
      <c r="B28" s="31" t="s">
        <v>94</v>
      </c>
      <c r="C28" s="31" t="s">
        <v>111</v>
      </c>
    </row>
    <row r="29" spans="1:3" ht="15" thickBot="1" x14ac:dyDescent="0.35">
      <c r="A29" s="28" t="s">
        <v>10</v>
      </c>
      <c r="B29" s="29">
        <v>41.75</v>
      </c>
      <c r="C29" s="29">
        <v>8</v>
      </c>
    </row>
    <row r="30" spans="1:3" ht="15" thickBot="1" x14ac:dyDescent="0.35">
      <c r="A30" s="28" t="s">
        <v>29</v>
      </c>
      <c r="B30" s="29">
        <v>85.8</v>
      </c>
      <c r="C30" s="29">
        <v>5</v>
      </c>
    </row>
    <row r="31" spans="1:3" ht="15" thickBot="1" x14ac:dyDescent="0.35">
      <c r="A31" s="28" t="s">
        <v>86</v>
      </c>
      <c r="B31" s="29">
        <v>58.692307692307693</v>
      </c>
      <c r="C31" s="29">
        <v>13</v>
      </c>
    </row>
  </sheetData>
  <mergeCells count="3">
    <mergeCell ref="A2:C2"/>
    <mergeCell ref="A15:C15"/>
    <mergeCell ref="A27:C27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B0ED-4471-4411-9F82-751CD4E0DD69}">
  <dimension ref="A1:E7"/>
  <sheetViews>
    <sheetView workbookViewId="0">
      <selection activeCell="H5" sqref="H5"/>
    </sheetView>
  </sheetViews>
  <sheetFormatPr defaultRowHeight="14.4" x14ac:dyDescent="0.3"/>
  <cols>
    <col min="1" max="1" width="43.33203125" customWidth="1"/>
    <col min="2" max="2" width="27.44140625" customWidth="1"/>
    <col min="3" max="3" width="24.33203125" customWidth="1"/>
    <col min="4" max="4" width="25.77734375" customWidth="1"/>
  </cols>
  <sheetData>
    <row r="1" spans="1:5" ht="40.200000000000003" customHeight="1" x14ac:dyDescent="0.3">
      <c r="A1" s="24" t="s">
        <v>85</v>
      </c>
      <c r="B1" s="24"/>
      <c r="C1" s="24"/>
      <c r="D1" s="24"/>
    </row>
    <row r="2" spans="1:5" ht="25.2" customHeight="1" x14ac:dyDescent="0.3">
      <c r="A2" s="23" t="s">
        <v>61</v>
      </c>
      <c r="B2" s="23" t="s">
        <v>62</v>
      </c>
      <c r="C2" s="23" t="s">
        <v>63</v>
      </c>
      <c r="D2" s="23" t="s">
        <v>64</v>
      </c>
    </row>
    <row r="3" spans="1:5" ht="49.2" customHeight="1" x14ac:dyDescent="0.3">
      <c r="A3" s="22" t="s">
        <v>65</v>
      </c>
      <c r="B3" s="22" t="s">
        <v>66</v>
      </c>
      <c r="C3" s="22" t="s">
        <v>67</v>
      </c>
      <c r="D3" s="22" t="s">
        <v>68</v>
      </c>
    </row>
    <row r="4" spans="1:5" ht="41.4" customHeight="1" x14ac:dyDescent="0.3">
      <c r="A4" s="7" t="s">
        <v>69</v>
      </c>
      <c r="B4" s="7" t="s">
        <v>70</v>
      </c>
      <c r="C4" s="7" t="s">
        <v>71</v>
      </c>
      <c r="D4" s="7" t="s">
        <v>72</v>
      </c>
      <c r="E4" s="25"/>
    </row>
    <row r="5" spans="1:5" ht="40.799999999999997" customHeight="1" x14ac:dyDescent="0.3">
      <c r="A5" s="22" t="s">
        <v>73</v>
      </c>
      <c r="B5" s="22" t="s">
        <v>74</v>
      </c>
      <c r="C5" s="22" t="s">
        <v>75</v>
      </c>
      <c r="D5" s="22" t="s">
        <v>76</v>
      </c>
    </row>
    <row r="6" spans="1:5" ht="41.4" customHeight="1" x14ac:dyDescent="0.3">
      <c r="A6" s="7" t="s">
        <v>77</v>
      </c>
      <c r="B6" s="7" t="s">
        <v>78</v>
      </c>
      <c r="C6" s="7" t="s">
        <v>79</v>
      </c>
      <c r="D6" s="7" t="s">
        <v>80</v>
      </c>
    </row>
    <row r="7" spans="1:5" ht="41.4" customHeight="1" x14ac:dyDescent="0.3">
      <c r="A7" s="22" t="s">
        <v>81</v>
      </c>
      <c r="B7" s="22" t="s">
        <v>82</v>
      </c>
      <c r="C7" s="22" t="s">
        <v>83</v>
      </c>
      <c r="D7" s="22" t="s">
        <v>84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E697-BC54-4966-B50C-21137717B853}">
  <dimension ref="B2:R53"/>
  <sheetViews>
    <sheetView zoomScale="55" workbookViewId="0">
      <selection activeCell="Q11" sqref="Q11"/>
    </sheetView>
  </sheetViews>
  <sheetFormatPr defaultRowHeight="14.4" x14ac:dyDescent="0.3"/>
  <cols>
    <col min="10" max="10" width="18.6640625" bestFit="1" customWidth="1"/>
    <col min="13" max="13" width="12" bestFit="1" customWidth="1"/>
    <col min="15" max="15" width="14.88671875" bestFit="1" customWidth="1"/>
    <col min="17" max="17" width="16.5546875" bestFit="1" customWidth="1"/>
  </cols>
  <sheetData>
    <row r="2" spans="2:18" ht="19.2" x14ac:dyDescent="0.3">
      <c r="B2" s="56" t="s">
        <v>97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</row>
    <row r="3" spans="2:18" x14ac:dyDescent="0.3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2:18" x14ac:dyDescent="0.3">
      <c r="B4" s="49" t="s">
        <v>98</v>
      </c>
      <c r="C4" s="50"/>
      <c r="D4" s="50"/>
      <c r="E4" s="33"/>
      <c r="F4" s="54" t="s">
        <v>99</v>
      </c>
      <c r="G4" s="55"/>
      <c r="H4" s="55"/>
      <c r="I4" s="33"/>
      <c r="J4" s="54" t="s">
        <v>100</v>
      </c>
      <c r="K4" s="55"/>
      <c r="L4" s="55"/>
      <c r="M4" s="33"/>
      <c r="N4" s="49" t="s">
        <v>101</v>
      </c>
      <c r="O4" s="50"/>
      <c r="P4" s="50"/>
      <c r="Q4" s="33"/>
      <c r="R4" s="33"/>
    </row>
    <row r="5" spans="2:18" x14ac:dyDescent="0.3">
      <c r="B5" s="51">
        <v>13</v>
      </c>
      <c r="C5" s="37"/>
      <c r="D5" s="37"/>
      <c r="E5" s="33"/>
      <c r="F5" s="48">
        <v>0.03</v>
      </c>
      <c r="G5" s="35"/>
      <c r="H5" s="35"/>
      <c r="I5" s="33"/>
      <c r="J5" s="52">
        <v>1700</v>
      </c>
      <c r="K5" s="35"/>
      <c r="L5" s="35"/>
      <c r="M5" s="33"/>
      <c r="N5" s="53">
        <v>799</v>
      </c>
      <c r="O5" s="37"/>
      <c r="P5" s="37"/>
      <c r="Q5" s="33"/>
      <c r="R5" s="33"/>
    </row>
    <row r="6" spans="2:18" x14ac:dyDescent="0.3">
      <c r="B6" s="36" t="s">
        <v>102</v>
      </c>
      <c r="C6" s="37"/>
      <c r="D6" s="37"/>
      <c r="E6" s="33"/>
      <c r="F6" s="34" t="s">
        <v>103</v>
      </c>
      <c r="G6" s="35"/>
      <c r="H6" s="35"/>
      <c r="I6" s="33"/>
      <c r="J6" s="34" t="s">
        <v>104</v>
      </c>
      <c r="K6" s="35"/>
      <c r="L6" s="35"/>
      <c r="M6" s="33"/>
      <c r="N6" s="36" t="s">
        <v>105</v>
      </c>
      <c r="O6" s="37"/>
      <c r="P6" s="37"/>
      <c r="Q6" s="33"/>
      <c r="R6" s="33"/>
    </row>
    <row r="7" spans="2:18" x14ac:dyDescent="0.3">
      <c r="B7" s="37"/>
      <c r="C7" s="37"/>
      <c r="D7" s="37"/>
      <c r="E7" s="33"/>
      <c r="F7" s="35"/>
      <c r="G7" s="35"/>
      <c r="H7" s="35"/>
      <c r="I7" s="33"/>
      <c r="J7" s="35"/>
      <c r="K7" s="35"/>
      <c r="L7" s="35"/>
      <c r="M7" s="33"/>
      <c r="N7" s="37"/>
      <c r="O7" s="37"/>
      <c r="P7" s="37"/>
      <c r="Q7" s="33"/>
      <c r="R7" s="33"/>
    </row>
    <row r="8" spans="2:18" x14ac:dyDescent="0.3"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spans="2:18" x14ac:dyDescent="0.3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spans="2:18" x14ac:dyDescent="0.3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spans="2:18" x14ac:dyDescent="0.3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spans="2:18" x14ac:dyDescent="0.3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2:18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spans="2:18" x14ac:dyDescent="0.3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spans="2:18" x14ac:dyDescent="0.3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spans="2:18" x14ac:dyDescent="0.3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spans="2:18" x14ac:dyDescent="0.3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spans="2:18" x14ac:dyDescent="0.3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2:18" x14ac:dyDescent="0.3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  <row r="20" spans="2:18" x14ac:dyDescent="0.3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</row>
    <row r="21" spans="2:18" x14ac:dyDescent="0.3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</row>
    <row r="22" spans="2:18" x14ac:dyDescent="0.3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</row>
    <row r="23" spans="2:18" x14ac:dyDescent="0.3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</row>
    <row r="24" spans="2:18" x14ac:dyDescent="0.3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</row>
    <row r="25" spans="2:18" x14ac:dyDescent="0.3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</row>
    <row r="26" spans="2:18" x14ac:dyDescent="0.3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</row>
    <row r="27" spans="2:18" x14ac:dyDescent="0.3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</row>
    <row r="28" spans="2:18" x14ac:dyDescent="0.3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</row>
    <row r="29" spans="2:18" x14ac:dyDescent="0.3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</row>
    <row r="30" spans="2:18" x14ac:dyDescent="0.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</row>
    <row r="31" spans="2:18" x14ac:dyDescent="0.3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</row>
    <row r="32" spans="2:18" x14ac:dyDescent="0.3">
      <c r="B32" s="33"/>
      <c r="C32" s="33"/>
      <c r="D32" s="33"/>
      <c r="E32" s="33"/>
      <c r="F32" s="33"/>
      <c r="G32" s="33"/>
      <c r="H32" s="33"/>
      <c r="I32" s="33"/>
      <c r="J32" s="44" t="s">
        <v>106</v>
      </c>
      <c r="K32" s="45"/>
      <c r="L32" s="45"/>
      <c r="M32" s="45"/>
      <c r="N32" s="45"/>
      <c r="O32" s="45"/>
      <c r="P32" s="45"/>
      <c r="Q32" s="45"/>
      <c r="R32" s="45"/>
    </row>
    <row r="33" spans="2:18" x14ac:dyDescent="0.3">
      <c r="B33" s="33"/>
      <c r="C33" s="33"/>
      <c r="D33" s="33"/>
      <c r="E33" s="33"/>
      <c r="F33" s="33"/>
      <c r="G33" s="33"/>
      <c r="H33" s="33"/>
      <c r="I33" s="33"/>
      <c r="J33" s="41" t="s">
        <v>88</v>
      </c>
      <c r="K33" s="2"/>
      <c r="L33" s="42" t="s">
        <v>107</v>
      </c>
      <c r="M33" s="43" t="s">
        <v>108</v>
      </c>
      <c r="N33" s="2"/>
      <c r="O33" s="43" t="s">
        <v>109</v>
      </c>
      <c r="P33" s="2"/>
      <c r="Q33" s="43" t="s">
        <v>112</v>
      </c>
      <c r="R33" s="2"/>
    </row>
    <row r="34" spans="2:18" x14ac:dyDescent="0.3">
      <c r="B34" s="33"/>
      <c r="C34" s="33"/>
      <c r="D34" s="33"/>
      <c r="E34" s="33"/>
      <c r="F34" s="33"/>
      <c r="G34" s="33"/>
      <c r="H34" s="33"/>
      <c r="I34" s="33"/>
      <c r="J34" s="40" t="s">
        <v>26</v>
      </c>
      <c r="K34" s="2"/>
      <c r="L34" s="38">
        <v>6</v>
      </c>
      <c r="M34" s="39">
        <v>380</v>
      </c>
      <c r="N34" s="2"/>
      <c r="O34" s="39">
        <v>18</v>
      </c>
      <c r="P34" s="2"/>
      <c r="Q34" s="39" t="s">
        <v>9</v>
      </c>
      <c r="R34" s="2"/>
    </row>
    <row r="35" spans="2:18" x14ac:dyDescent="0.3">
      <c r="B35" s="33"/>
      <c r="C35" s="33"/>
      <c r="D35" s="33"/>
      <c r="E35" s="33"/>
      <c r="F35" s="33"/>
      <c r="G35" s="33"/>
      <c r="H35" s="33"/>
      <c r="I35" s="33"/>
      <c r="J35" s="40" t="s">
        <v>1</v>
      </c>
      <c r="K35" s="2"/>
      <c r="L35" s="38">
        <v>2</v>
      </c>
      <c r="M35" s="39">
        <v>1150</v>
      </c>
      <c r="N35" s="2"/>
      <c r="O35" s="39">
        <v>44</v>
      </c>
      <c r="P35" s="2"/>
      <c r="Q35" s="39" t="s">
        <v>110</v>
      </c>
      <c r="R35" s="2"/>
    </row>
    <row r="36" spans="2:18" x14ac:dyDescent="0.3">
      <c r="B36" s="33"/>
      <c r="C36" s="33"/>
      <c r="D36" s="33"/>
      <c r="E36" s="33"/>
      <c r="F36" s="33"/>
      <c r="G36" s="33"/>
      <c r="H36" s="33"/>
      <c r="I36" s="33"/>
      <c r="J36" s="40" t="s">
        <v>35</v>
      </c>
      <c r="K36" s="2"/>
      <c r="L36" s="38">
        <v>1</v>
      </c>
      <c r="M36" s="39">
        <v>1800</v>
      </c>
      <c r="N36" s="2"/>
      <c r="O36" s="39">
        <v>17</v>
      </c>
      <c r="P36" s="2"/>
      <c r="Q36" s="39" t="s">
        <v>19</v>
      </c>
      <c r="R36" s="2"/>
    </row>
    <row r="37" spans="2:18" x14ac:dyDescent="0.3">
      <c r="B37" s="33"/>
      <c r="C37" s="33"/>
      <c r="D37" s="33"/>
      <c r="E37" s="33"/>
      <c r="F37" s="33"/>
      <c r="G37" s="33"/>
      <c r="H37" s="33"/>
      <c r="I37" s="33"/>
      <c r="J37" s="40" t="s">
        <v>38</v>
      </c>
      <c r="K37" s="2"/>
      <c r="L37" s="38">
        <v>2</v>
      </c>
      <c r="M37" s="39">
        <v>1850</v>
      </c>
      <c r="N37" s="2"/>
      <c r="O37" s="39">
        <v>3</v>
      </c>
      <c r="P37" s="2"/>
      <c r="Q37" s="39" t="s">
        <v>9</v>
      </c>
      <c r="R37" s="2"/>
    </row>
    <row r="38" spans="2:18" x14ac:dyDescent="0.3">
      <c r="B38" s="33"/>
      <c r="C38" s="33"/>
      <c r="D38" s="33"/>
      <c r="E38" s="33"/>
      <c r="F38" s="33"/>
      <c r="G38" s="33"/>
      <c r="H38" s="33"/>
      <c r="I38" s="33"/>
      <c r="J38" s="40" t="s">
        <v>5</v>
      </c>
      <c r="K38" s="2"/>
      <c r="L38" s="38">
        <v>2</v>
      </c>
      <c r="M38" s="39">
        <v>1650</v>
      </c>
      <c r="N38" s="2"/>
      <c r="O38" s="39">
        <v>8</v>
      </c>
      <c r="P38" s="2"/>
      <c r="Q38" s="39" t="s">
        <v>19</v>
      </c>
      <c r="R38" s="2"/>
    </row>
    <row r="39" spans="2:18" x14ac:dyDescent="0.3">
      <c r="B39" s="33"/>
      <c r="C39" s="33"/>
      <c r="D39" s="33"/>
      <c r="E39" s="33"/>
      <c r="F39" s="33"/>
      <c r="G39" s="33"/>
      <c r="H39" s="33"/>
      <c r="I39" s="33"/>
      <c r="J39" s="44" t="s">
        <v>113</v>
      </c>
      <c r="K39" s="45"/>
      <c r="L39" s="45"/>
      <c r="M39" s="45"/>
      <c r="N39" s="45"/>
      <c r="O39" s="45"/>
      <c r="P39" s="45"/>
      <c r="Q39" s="45"/>
      <c r="R39" s="45"/>
    </row>
    <row r="40" spans="2:18" ht="14.4" customHeight="1" x14ac:dyDescent="0.3">
      <c r="B40" s="33"/>
      <c r="C40" s="33"/>
      <c r="D40" s="33"/>
      <c r="E40" s="33"/>
      <c r="F40" s="33"/>
      <c r="G40" s="33"/>
      <c r="H40" s="33"/>
      <c r="I40" s="33"/>
      <c r="J40" s="46" t="s">
        <v>114</v>
      </c>
      <c r="K40" s="47"/>
      <c r="L40" s="47"/>
      <c r="M40" s="47"/>
      <c r="N40" s="47"/>
      <c r="O40" s="47"/>
      <c r="P40" s="47"/>
      <c r="Q40" s="47"/>
      <c r="R40" s="47"/>
    </row>
    <row r="41" spans="2:18" ht="14.4" customHeight="1" x14ac:dyDescent="0.3">
      <c r="B41" s="33"/>
      <c r="C41" s="33"/>
      <c r="D41" s="33"/>
      <c r="E41" s="33"/>
      <c r="F41" s="33"/>
      <c r="G41" s="33"/>
      <c r="H41" s="33"/>
      <c r="I41" s="33"/>
      <c r="J41" s="46" t="s">
        <v>117</v>
      </c>
      <c r="K41" s="47"/>
      <c r="L41" s="47"/>
      <c r="M41" s="47"/>
      <c r="N41" s="47"/>
      <c r="O41" s="47"/>
      <c r="P41" s="47"/>
      <c r="Q41" s="47"/>
      <c r="R41" s="47"/>
    </row>
    <row r="42" spans="2:18" ht="14.4" customHeight="1" x14ac:dyDescent="0.3">
      <c r="B42" s="33"/>
      <c r="C42" s="33"/>
      <c r="D42" s="33"/>
      <c r="E42" s="33"/>
      <c r="F42" s="33"/>
      <c r="G42" s="33"/>
      <c r="H42" s="33"/>
      <c r="I42" s="33"/>
      <c r="J42" s="46" t="s">
        <v>115</v>
      </c>
      <c r="K42" s="47"/>
      <c r="L42" s="47"/>
      <c r="M42" s="47"/>
      <c r="N42" s="47"/>
      <c r="O42" s="47"/>
      <c r="P42" s="47"/>
      <c r="Q42" s="47"/>
      <c r="R42" s="47"/>
    </row>
    <row r="43" spans="2:18" ht="14.4" customHeight="1" x14ac:dyDescent="0.3">
      <c r="B43" s="33"/>
      <c r="C43" s="33"/>
      <c r="D43" s="33"/>
      <c r="E43" s="33"/>
      <c r="F43" s="33"/>
      <c r="G43" s="33"/>
      <c r="H43" s="33"/>
      <c r="I43" s="33"/>
      <c r="J43" s="46" t="s">
        <v>116</v>
      </c>
      <c r="K43" s="47"/>
      <c r="L43" s="47"/>
      <c r="M43" s="47"/>
      <c r="N43" s="47"/>
      <c r="O43" s="47"/>
      <c r="P43" s="47"/>
      <c r="Q43" s="47"/>
      <c r="R43" s="47"/>
    </row>
    <row r="44" spans="2:18" ht="14.4" customHeight="1" x14ac:dyDescent="0.3">
      <c r="B44" s="33"/>
      <c r="C44" s="33"/>
      <c r="D44" s="33"/>
      <c r="E44" s="33"/>
      <c r="F44" s="33"/>
      <c r="G44" s="33"/>
      <c r="H44" s="33"/>
      <c r="I44" s="33"/>
      <c r="J44" s="46" t="s">
        <v>118</v>
      </c>
      <c r="K44" s="47"/>
      <c r="L44" s="47"/>
      <c r="M44" s="47"/>
      <c r="N44" s="47"/>
      <c r="O44" s="47"/>
      <c r="P44" s="47"/>
      <c r="Q44" s="47"/>
      <c r="R44" s="47"/>
    </row>
    <row r="45" spans="2:18" x14ac:dyDescent="0.3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</row>
    <row r="47" spans="2:18" x14ac:dyDescent="0.3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</row>
    <row r="48" spans="2:18" x14ac:dyDescent="0.3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</row>
    <row r="49" spans="2:18" x14ac:dyDescent="0.3"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</row>
    <row r="50" spans="2:18" x14ac:dyDescent="0.3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</row>
    <row r="51" spans="2:18" x14ac:dyDescent="0.3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</row>
    <row r="52" spans="2:18" x14ac:dyDescent="0.3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</row>
    <row r="53" spans="2:18" x14ac:dyDescent="0.3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</row>
  </sheetData>
  <mergeCells count="24">
    <mergeCell ref="J44:R44"/>
    <mergeCell ref="J32:R32"/>
    <mergeCell ref="J39:R39"/>
    <mergeCell ref="J40:R40"/>
    <mergeCell ref="J41:R41"/>
    <mergeCell ref="J42:R42"/>
    <mergeCell ref="J43:R43"/>
    <mergeCell ref="B6:D6"/>
    <mergeCell ref="F6:H6"/>
    <mergeCell ref="J6:L6"/>
    <mergeCell ref="N6:P6"/>
    <mergeCell ref="B7:D7"/>
    <mergeCell ref="F7:H7"/>
    <mergeCell ref="J7:L7"/>
    <mergeCell ref="N7:P7"/>
    <mergeCell ref="B2:R2"/>
    <mergeCell ref="B4:D4"/>
    <mergeCell ref="F4:H4"/>
    <mergeCell ref="J4:L4"/>
    <mergeCell ref="N4:P4"/>
    <mergeCell ref="B5:D5"/>
    <mergeCell ref="F5:H5"/>
    <mergeCell ref="J5:L5"/>
    <mergeCell ref="N5:P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Platform data</vt:lpstr>
      <vt:lpstr>Charts</vt:lpstr>
      <vt:lpstr>Pivot</vt:lpstr>
      <vt:lpstr>Key findings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ranjani nathan</cp:lastModifiedBy>
  <dcterms:created xsi:type="dcterms:W3CDTF">2026-03-11T11:58:30Z</dcterms:created>
  <dcterms:modified xsi:type="dcterms:W3CDTF">2026-03-11T13:30:46Z</dcterms:modified>
</cp:coreProperties>
</file>